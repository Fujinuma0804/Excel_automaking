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codeName="ThisWorkbook"/>
  <mc:AlternateContent xmlns:mc="http://schemas.openxmlformats.org/markup-compatibility/2006">
    <mc:Choice Requires="x15">
      <x15ac:absPath xmlns:x15ac="http://schemas.microsoft.com/office/spreadsheetml/2010/11/ac" url="C:\Users\Administrator\Downloads\VBA\"/>
    </mc:Choice>
  </mc:AlternateContent>
  <xr:revisionPtr revIDLastSave="0" documentId="8_{100A9B05-9213-4741-9E65-5B66CA0AE8BD}" xr6:coauthVersionLast="47" xr6:coauthVersionMax="47" xr10:uidLastSave="{00000000-0000-0000-0000-000000000000}"/>
  <bookViews>
    <workbookView xWindow="-28920" yWindow="-120" windowWidth="29040" windowHeight="15840" xr2:uid="{00000000-000D-0000-FFFF-FFFF00000000}"/>
  </bookViews>
  <sheets>
    <sheet name="取得データ " sheetId="48" r:id="rId1"/>
    <sheet name="配点" sheetId="47" r:id="rId2"/>
    <sheet name="総合得点" sheetId="17" r:id="rId3"/>
    <sheet name="5点評価" sheetId="4" r:id="rId4"/>
    <sheet name="aaa" sheetId="102" r:id="rId5"/>
    <sheet name="bbb" sheetId="103" r:id="rId6"/>
    <sheet name="ccc" sheetId="104" r:id="rId7"/>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1" i="104" l="1"/>
  <c r="D30" i="104"/>
  <c r="D29" i="104"/>
  <c r="D28" i="104"/>
  <c r="D27" i="104"/>
  <c r="A2" i="104" a="1"/>
  <c r="A2" i="104" s="1"/>
  <c r="D31" i="103"/>
  <c r="D30" i="103"/>
  <c r="D29" i="103"/>
  <c r="D28" i="103"/>
  <c r="D27" i="103"/>
  <c r="A2" i="103" a="1"/>
  <c r="A2" i="103" s="1"/>
  <c r="D31" i="102"/>
  <c r="D30" i="102"/>
  <c r="D29" i="102"/>
  <c r="D28" i="102"/>
  <c r="D27" i="102"/>
  <c r="A2" i="102" a="1"/>
  <c r="A2" i="102" s="1"/>
  <c r="F62" i="47"/>
  <c r="F50" i="47"/>
  <c r="F38" i="47"/>
  <c r="F26" i="47"/>
  <c r="F14" i="47"/>
  <c r="E4" i="104" l="1"/>
  <c r="J4" i="104" s="1"/>
  <c r="E4" i="102"/>
  <c r="H4" i="102" s="1"/>
  <c r="E4" i="103"/>
  <c r="J4" i="103" s="1"/>
  <c r="F4" i="104"/>
  <c r="G4" i="104"/>
  <c r="H4" i="104"/>
  <c r="I4" i="104" l="1"/>
  <c r="I4" i="103"/>
  <c r="H4" i="103"/>
  <c r="F4" i="102"/>
  <c r="J4" i="102"/>
  <c r="G4" i="102"/>
  <c r="G4" i="103"/>
  <c r="F4" i="103"/>
  <c r="I4" i="10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<sst xmlns="http://schemas.openxmlformats.org/spreadsheetml/2006/main" count="3747" uniqueCount="685">
  <si>
    <t>ID</t>
    <phoneticPr fontId="5"/>
  </si>
  <si>
    <t>開始時刻</t>
  </si>
  <si>
    <t>完了時刻</t>
  </si>
  <si>
    <t>メール</t>
  </si>
  <si>
    <t>名前</t>
  </si>
  <si>
    <t>合計点数</t>
  </si>
  <si>
    <t>クイズのフィードバック</t>
  </si>
  <si>
    <t>最終変更時刻</t>
  </si>
  <si>
    <t>部署名</t>
  </si>
  <si>
    <t>点数 - 部署名</t>
  </si>
  <si>
    <t>フィードバック - 部署名</t>
  </si>
  <si>
    <t>氏名</t>
  </si>
  <si>
    <t>メールアドレス</t>
  </si>
  <si>
    <t>点数 - メールアドレス</t>
  </si>
  <si>
    <t>フィードバック - メールアドレス</t>
  </si>
  <si>
    <t>多くの ID／パスワードを扱う環境で最初に実装すべき運用はどれか。</t>
  </si>
  <si>
    <t>点数 - 多くの ID／パスワードを扱う環境で最初に実装すべき運用はどれか。</t>
  </si>
  <si>
    <t>フィードバック - 多くの ID／パスワードを扱う環境で最初に実装すべき運用はどれか。</t>
  </si>
  <si>
    <t>パスワードポリシーに「長さ優先」＋「文章型パスフレーズ推奨」を同時に採用する主なメリットはどれか。</t>
  </si>
  <si>
    <t>点数 - パスワードポリシーに「長さ優先」＋「文章型パスフレーズ推奨」を同時に採用する主なメリットはどれか。</t>
  </si>
  <si>
    <t>フィードバック - パスワードポリシーに「長さ優先」＋「文章型パスフレーズ推奨」を同時に採用する主なメリットはどれか。</t>
  </si>
  <si>
    <t>パスワードマネージャーの導入後も残る重要なリスクとして、特に考慮すべきものはどれか。</t>
  </si>
  <si>
    <t>点数 - パスワードマネージャーの導入後も残る重要なリスクとして、特に考慮すべきものはどれか。</t>
  </si>
  <si>
    <t>フィードバック - パスワードマネージャーの導入後も残る重要なリスクとして、特に考慮すべきものはどれか。</t>
  </si>
  <si>
    <t>パスワードについて、定期的な変更の強制を廃止し、イベントベース更新へ移行する際に必要となる仕組みはどれか。</t>
  </si>
  <si>
    <t>点数 - パスワードについて、定期的な変更の強制を廃止し、イベントベース更新へ移行する際に必要となる仕組みはどれか。</t>
  </si>
  <si>
    <t>フィードバック - パスワードについて、定期的な変更の強制を廃止し、イベントベース更新へ移行する際に必要となる仕組みはどれか。</t>
  </si>
  <si>
    <t>「社内での不適切なパスワード管理」を根本的に減らすための施策はどれか。</t>
  </si>
  <si>
    <t>フィードバック - 「社内での不適切なパスワード管理」を根本的に減らすための施策はどれか。</t>
  </si>
  <si>
    <t>点数 - 「社内での不適切なパスワード管理」を根本的に減らすための施策はどれか。</t>
  </si>
  <si>
    <t>知識要素と所有要素で構成される多要素認証（MFA）の組み合わせとして適切なものはどれか。</t>
  </si>
  <si>
    <t>フィードバック - 知識要素と所有要素で構成される多要素認証（MFA）の組み合わせとして適切なものはどれか。</t>
  </si>
  <si>
    <t>点数 - 知識要素と所有要素で構成される多要素認証（MFA）の組み合わせとして適切なものはどれか。</t>
  </si>
  <si>
    <t>シングルサインオン（SSO）導入後にフィッシング被害が拡大しやすくなるケースはどれか。</t>
  </si>
  <si>
    <t>フィードバック - シングルサインオン（SSO）導入後にフィッシング被害が拡大しやすくなるケースはどれか。</t>
  </si>
  <si>
    <t>点数 - シングルサインオン（SSO）導入後にフィッシング被害が拡大しやすくなるケースはどれか。</t>
  </si>
  <si>
    <t>Passkeyの「端末間シームレス利用」を成立させる前提として正しいものはどれか。</t>
  </si>
  <si>
    <t>フィードバック - Passkeyの「端末間シームレス利用」を成立させる前提として正しいものはどれか。</t>
  </si>
  <si>
    <t>点数 - Passkeyの「端末間シームレス利用」を成立させる前提として正しいものはどれか。</t>
  </si>
  <si>
    <t>文章型パスフレーズを採用する場合に追加で策定すべきガイドラインはどれか。</t>
  </si>
  <si>
    <t>フィードバック - 文章型パスフレーズを採用する場合に追加で策定すべきガイドラインはどれか。</t>
  </si>
  <si>
    <t>点数 - 文章型パスフレーズを採用する場合に追加で策定すべきガイドラインはどれか。</t>
  </si>
  <si>
    <t>パスワードレス化を進める際に最初に行うべき準備として最も適切なものはどれか。</t>
  </si>
  <si>
    <t>フィードバック - パスワードレス化を進める際に最初に行うべき準備として最も適切なものはどれか。</t>
  </si>
  <si>
    <t>点数 - パスワードレス化を進める際に最初に行うべき準備として最も適切なものはどれか。</t>
  </si>
  <si>
    <t>パスワードレス化によりエンドユーザーが最も早く実感しやすい利便性はどれか。</t>
  </si>
  <si>
    <t>フィードバック - パスワードレス化によりエンドユーザーが最も早く実感しやすい利便性はどれか。</t>
  </si>
  <si>
    <t>点数 - パスワードレス化によりエンドユーザーが最も早く実感しやすい利便性はどれか。</t>
  </si>
  <si>
    <t>MFA・SSO・Passkeyなどの認証方法を導入した後も依然として残りうる攻撃手法は次のうちどれか。</t>
  </si>
  <si>
    <t>フィードバック - MFA・SSO・Passkeyなどの認証方法を導入した後も依然として残りうる攻撃手法は次のうちどれか。</t>
  </si>
  <si>
    <t>点数 - MFA・SSO・Passkeyなどの認証方法を導入した後も依然として残りうる攻撃手法は次のうちどれか。</t>
  </si>
  <si>
    <t>認証の主な目的として最も適切なものはどれか。</t>
  </si>
  <si>
    <t>フィードバック - 認証の主な目的として最も適切なものはどれか。</t>
  </si>
  <si>
    <t>点数 - 認証の主な目的として最も適切なものはどれか。</t>
  </si>
  <si>
    <t>認証と認可を設計段階で分離して扱うべき主な理由はどれか。</t>
  </si>
  <si>
    <t>フィードバック - 認証と認可を設計段階で分離して扱うべき主な理由はどれか。</t>
  </si>
  <si>
    <t>点数 - 認証と認可を設計段階で分離して扱うべき主な理由はどれか。</t>
  </si>
  <si>
    <t>最小権限の原則を適用した認可設計において、権限過多によるセキュリティリスクを最も効果的に検知する方法はどれか。</t>
  </si>
  <si>
    <t>フィードバック - 最小権限の原則を適用した認可設計において、権限過多によるセキュリティリスクを最も効果的に検知する方法はどれか。</t>
  </si>
  <si>
    <t>点数 - 最小権限の原則を適用した認可設計において、権限過多によるセキュリティリスクを最も効果的に検知する方法はどれか。</t>
  </si>
  <si>
    <t>認証設計の観点から、「最小権限の原則」の形骸化を防ぐ方法として適切なものはどれか。</t>
  </si>
  <si>
    <t>フィードバック - 認証設計の観点から、「最小権限の原則」の形骸化を防ぐ方法として適切なものはどれか。</t>
  </si>
  <si>
    <t>点数 - 認証設計の観点から、「最小権限の原則」の形骸化を防ぐ方法として適切なものはどれか。</t>
  </si>
  <si>
    <t>認証設計において、プロトコル選定時に最も重要となる観点はどれか。</t>
  </si>
  <si>
    <t>フィードバック - 認証設計において、プロトコル選定時に最も重要となる観点はどれか。</t>
  </si>
  <si>
    <t>点数 - 認証設計において、プロトコル選定時に最も重要となる観点はどれか。</t>
  </si>
  <si>
    <t>認証情報を安全に扱うための設計として、最も適切なものはどれか。</t>
  </si>
  <si>
    <t>フィードバック - 認証情報を安全に扱うための設計として、最も適切なものはどれか。</t>
  </si>
  <si>
    <t>点数 - 認証情報を安全に扱うための設計として、最も適切なものはどれか。</t>
  </si>
  <si>
    <t>認証情報の取り扱いに関するベストプラクティスとして最も適切なのはどれか。</t>
  </si>
  <si>
    <t>フィードバック - 認証情報の取り扱いに関するベストプラクティスとして最も適切なのはどれか。</t>
  </si>
  <si>
    <t>点数 - 認証情報の取り扱いに関するベストプラクティスとして最も適切なのはどれか。</t>
  </si>
  <si>
    <t>認証設計において「UI・UX」とのバランスが課題となるのはどのような状況か。</t>
  </si>
  <si>
    <t>点数 - 認証設計において「UI・UX」とのバランスが課題となるのはどのような状況か。</t>
  </si>
  <si>
    <t>フィードバック - 認証設計において「UI・UX」とのバランスが課題となるのはどのような状況か。</t>
  </si>
  <si>
    <t>認証に関連する設計全体で意識すべき方針として、最も適切なものはどれか。</t>
  </si>
  <si>
    <t>点数 - 認証に関連する設計全体で意識すべき方針として、最も適切なものはどれか。</t>
  </si>
  <si>
    <t>フィードバック - 認証に関連する設計全体で意識すべき方針として、最も適切なものはどれか。</t>
  </si>
  <si>
    <t>ユーザーの状況に応じて認証の強度を自動的に変える仕組みが最も効果的なケースはどれか。</t>
  </si>
  <si>
    <t>点数 - ユーザーの状況に応じて認証の強度を自動的に変える仕組みが最も効果的なケースはどれか。</t>
  </si>
  <si>
    <t>フィードバック - ユーザーの状況に応じて認証の強度を自動的に変える仕組みが最も効果的なケースはどれか。</t>
  </si>
  <si>
    <t>認証関連ログの活用において、ログ設計で最も重要な視点はどれか。</t>
  </si>
  <si>
    <t>点数 - 認証関連ログの活用において、ログ設計で最も重要な視点はどれか。</t>
  </si>
  <si>
    <t>フィードバック - 認証関連ログの活用において、ログ設計で最も重要な視点はどれか。</t>
  </si>
  <si>
    <t>認証関連のログを運用で活用する際、重要な取り組みはどれか。</t>
  </si>
  <si>
    <t>点数 - 認証関連のログを運用で活用する際、重要な取り組みはどれか。</t>
  </si>
  <si>
    <t>フィードバック - 認証関連のログを運用で活用する際、重要な取り組みはどれか。</t>
  </si>
  <si>
    <t> テレワーク環境において、従来のオフィス勤務と比較して最も注意すべきセキュリティリスクはどれか。</t>
  </si>
  <si>
    <t>フィードバック -  テレワーク環境において、従来のオフィス勤務と比較して最も注意すべきセキュリティリスクはどれか。</t>
  </si>
  <si>
    <t>点数 -  テレワーク環境において、従来のオフィス勤務と比較して最も注意すべきセキュリティリスクはどれか。</t>
  </si>
  <si>
    <t>テレワーク環境でクラウドサービスやコラボレーションツールの利用が拡大することに伴い、IT部門にとっての課題として最も適切なのはどれか。</t>
  </si>
  <si>
    <t>フィードバック - テレワーク環境でクラウドサービスやコラボレーションツールの利用が拡大することに伴い、IT部門にとっての課題として最も適切なのはどれか。</t>
  </si>
  <si>
    <t>点数 - テレワーク環境でクラウドサービスやコラボレーションツールの利用が拡大することに伴い、IT部門にとっての課題として最も適切なのはどれか。</t>
  </si>
  <si>
    <t>テレワーク環境での情報漏えい対策として、最も適切なものはどれか。</t>
  </si>
  <si>
    <t>フィードバック - テレワーク環境での情報漏えい対策として、最も適切なものはどれか。</t>
  </si>
  <si>
    <t>点数 - テレワーク環境での情報漏えい対策として、最も適切なものはどれか。</t>
  </si>
  <si>
    <t>テレワーク時の端末管理に関して、セキュリティリスクが特に高まるのはどのような状態か。</t>
  </si>
  <si>
    <t>フィードバック - テレワーク時の端末管理に関して、セキュリティリスクが特に高まるのはどのような状態か。</t>
  </si>
  <si>
    <t>点数 - テレワーク時の端末管理に関して、セキュリティリスクが特に高まるのはどのような状態か。</t>
  </si>
  <si>
    <t>テレワークでの情報漏えいリスクとして、「ユーザー操作のリスク」に該当するものはどれか。</t>
  </si>
  <si>
    <t>フィードバック - テレワークでの情報漏えいリスクとして、「ユーザー操作のリスク」に該当するものはどれか。</t>
  </si>
  <si>
    <t>点数 - テレワークでの情報漏えいリスクとして、「ユーザー操作のリスク」に該当するものはどれか。</t>
  </si>
  <si>
    <t>テレワーク環境を標的とした攻撃の特徴と、特に狙われやすいリスク要因として正しいものはどれか。</t>
  </si>
  <si>
    <t>フィードバック - テレワーク環境を標的とした攻撃の特徴と、特に狙われやすいリスク要因として正しいものはどれか。</t>
  </si>
  <si>
    <t>点数 - テレワーク環境を標的とした攻撃の特徴と、特に狙われやすいリスク要因として正しいものはどれか。</t>
  </si>
  <si>
    <t>在宅勤務環境におけるセキュリティ格差の原因として最も適切なものはどれか。</t>
  </si>
  <si>
    <t>フィードバック - 在宅勤務環境におけるセキュリティ格差の原因として最も適切なものはどれか。</t>
  </si>
  <si>
    <t>点数 - 在宅勤務環境におけるセキュリティ格差の原因として最も適切なものはどれか。</t>
  </si>
  <si>
    <t>テレワーク方式の選択において、「業務データを端末に残さない」ことを重視する場合に適切な方式はどれか。</t>
  </si>
  <si>
    <t>フィードバック - テレワーク方式の選択において、「業務データを端末に残さない」ことを重視する場合に適切な方式はどれか。</t>
  </si>
  <si>
    <t>点数 - テレワーク方式の選択において、「業務データを端末に残さない」ことを重視する場合に適切な方式はどれか。</t>
  </si>
  <si>
    <t>社内データを端末にダウンロードして作業を行うテレワーク方式における最大のリスクはどれか。</t>
  </si>
  <si>
    <t>フィードバック - 社内データを端末にダウンロードして作業を行うテレワーク方式における最大のリスクはどれか。</t>
  </si>
  <si>
    <t>点数 - 社内データを端末にダウンロードして作業を行うテレワーク方式における最大のリスクはどれか。</t>
  </si>
  <si>
    <t>VPNを利用した通信経路で暗号化されていない場合に懸念されるリスクはどれか。</t>
  </si>
  <si>
    <t>フィードバック - VPNを利用した通信経路で暗号化されていない場合に懸念されるリスクはどれか。</t>
  </si>
  <si>
    <t>点数 - VPNを利用した通信経路で暗号化されていない場合に懸念されるリスクはどれか。</t>
  </si>
  <si>
    <t>社外でテレワークを行う従業員に対して最低限実施すべき対策はどれか。</t>
  </si>
  <si>
    <t>フィードバック - 社外でテレワークを行う従業員に対して最低限実施すべき対策はどれか。</t>
  </si>
  <si>
    <t>点数 - 社外でテレワークを行う従業員に対して最低限実施すべき対策はどれか。</t>
  </si>
  <si>
    <t>自宅以外でのテレワーク環境における物理的なセキュリティ対策として適切なものはどれか。</t>
  </si>
  <si>
    <t>フィードバック - 自宅以外でのテレワーク環境における物理的なセキュリティ対策として適切なものはどれか。</t>
  </si>
  <si>
    <t>点数 - 自宅以外でのテレワーク環境における物理的なセキュリティ対策として適切なものはどれか。</t>
  </si>
  <si>
    <t>ゼロトラストという考え方が注目されるようになった背景として最も適切なのはどれか。</t>
  </si>
  <si>
    <t>フィードバック - ゼロトラストという考え方が注目されるようになった背景として最も適切なのはどれか。</t>
  </si>
  <si>
    <t>点数 - ゼロトラストという考え方が注目されるようになった背景として最も適切なのはどれか。</t>
  </si>
  <si>
    <t>従来型の「境界防御モデル」における根本的なセキュリティ上の課題はどれか。</t>
  </si>
  <si>
    <t>フィードバック - 従来型の「境界防御モデル」における根本的なセキュリティ上の課題はどれか。</t>
  </si>
  <si>
    <t>点数 - 従来型の「境界防御モデル」における根本的なセキュリティ上の課題はどれか。</t>
  </si>
  <si>
    <t>ゼロトラストと従来の境界防御との最も本質的な違いはどれか。</t>
  </si>
  <si>
    <t>フィードバック - ゼロトラストと従来の境界防御との最も本質的な違いはどれか。</t>
  </si>
  <si>
    <t>点数 - ゼロトラストと従来の境界防御との最も本質的な違いはどれか。</t>
  </si>
  <si>
    <t>ゼロトラストにおける設計指針として最も適切なものはどれか。</t>
  </si>
  <si>
    <t>フィードバック - ゼロトラストにおける設計指針として最も適切なものはどれか。</t>
  </si>
  <si>
    <t>点数 - ゼロトラストにおける設計指針として最も適切なものはどれか。</t>
  </si>
  <si>
    <t>サイバーハイジーン（衛生管理）という概念の主な目的はどれか。</t>
  </si>
  <si>
    <t>フィードバック - サイバーハイジーン（衛生管理）という概念の主な目的はどれか。</t>
  </si>
  <si>
    <t>点数 - サイバーハイジーン（衛生管理）という概念の主な目的はどれか。</t>
  </si>
  <si>
    <t>ゼロトラストにおける「動的ポリシー制御」の特徴として最も適切なのはどれか。</t>
  </si>
  <si>
    <t>フィードバック - ゼロトラストにおける「動的ポリシー制御」の特徴として最も適切なのはどれか。</t>
  </si>
  <si>
    <t>点数 - ゼロトラストにおける「動的ポリシー制御」の特徴として最も適切なのはどれか。</t>
  </si>
  <si>
    <t>アクセス権限を動的に見直すべきタイミングとして、最も適切なものはどれか。</t>
  </si>
  <si>
    <t>フィードバック - アクセス権限を動的に見直すべきタイミングとして、最も適切なものはどれか。</t>
  </si>
  <si>
    <t>点数 - アクセス権限を動的に見直すべきタイミングとして、最も適切なものはどれか。</t>
  </si>
  <si>
    <t>ゼロトラスト導入時に「ポリシーが肥大化する」ことで発生するリスクとして最も適切なのはどれか。</t>
  </si>
  <si>
    <t>フィードバック - ゼロトラスト導入時に「ポリシーが肥大化する」ことで発生するリスクとして最も適切なのはどれか。</t>
  </si>
  <si>
    <t>点数 - ゼロトラスト導入時に「ポリシーが肥大化する」ことで発生するリスクとして最も適切なのはどれか。</t>
  </si>
  <si>
    <t>ゼロトラストを導入する際の計画段階で、最初に実施すべきこととして適切なのはどれか。</t>
  </si>
  <si>
    <t>フィードバック - ゼロトラストを導入する際の計画段階で、最初に実施すべきこととして適切なのはどれか。</t>
  </si>
  <si>
    <t>点数 - ゼロトラストを導入する際の計画段階で、最初に実施すべきこととして適切なのはどれか。</t>
  </si>
  <si>
    <t>ゼロトラストを成功させるための進め方として、最も適切なのはどれか。</t>
  </si>
  <si>
    <t>フィードバック - ゼロトラストを成功させるための進め方として、最も適切なのはどれか。</t>
  </si>
  <si>
    <t>点数 - ゼロトラストを成功させるための進め方として、最も適切なのはどれか。</t>
  </si>
  <si>
    <t>ゼロトラストの考え方に沿ってセキュリティの設計方針を見直す際、適切な方向性はどれか。</t>
  </si>
  <si>
    <t>フィードバック - ゼロトラストの考え方に沿ってセキュリティの設計方針を見直す際、適切な方向性はどれか。</t>
  </si>
  <si>
    <t>点数 - ゼロトラストの考え方に沿ってセキュリティの設計方針を見直す際、適切な方向性はどれか。</t>
  </si>
  <si>
    <t>テレワークの拡大を契機にゼロトラストを導入した企業で得られた代表的な成果として、適切なのはどれか。</t>
  </si>
  <si>
    <t>フィードバック - テレワークの拡大を契機にゼロトラストを導入した企業で得られた代表的な成果として、適切なのはどれか。</t>
  </si>
  <si>
    <t>点数 - テレワークの拡大を契機にゼロトラストを導入した企業で得られた代表的な成果として、適切なのはどれか。</t>
  </si>
  <si>
    <t>クラウドサービスの利点として適切なものはどれか。</t>
  </si>
  <si>
    <t>フィードバック - クラウドサービスの利点として適切なものはどれか。</t>
  </si>
  <si>
    <t>点数 - クラウドサービスの利点として適切なものはどれか。</t>
  </si>
  <si>
    <t>クラウド利用時の責任共有モデルで「利用者側の責任」とされるものはどれか。</t>
  </si>
  <si>
    <t>フィードバック - クラウド利用時の責任共有モデルで「利用者側の責任」とされるものはどれか。</t>
  </si>
  <si>
    <t>点数 - クラウド利用時の責任共有モデルで「利用者側の責任」とされるものはどれか。</t>
  </si>
  <si>
    <t>SaaSに分類されるサービスの特徴として最も適切なのはどれか。</t>
  </si>
  <si>
    <t>フィードバック - SaaSに分類されるサービスの特徴として最も適切なのはどれか。</t>
  </si>
  <si>
    <t>点数 - SaaSに分類されるサービスの特徴として最も適切なのはどれか。</t>
  </si>
  <si>
    <t>IaaSの導入を検討する場面として適切なのはどれか。</t>
  </si>
  <si>
    <t>フィードバック - IaaSの導入を検討する場面として適切なのはどれか。</t>
  </si>
  <si>
    <t>点数 - IaaSの導入を検討する場面として適切なのはどれか。</t>
  </si>
  <si>
    <t>クラウド利用におけるセキュリティリスクとして最も適切なのはどれか。</t>
  </si>
  <si>
    <t>フィードバック - クラウド利用におけるセキュリティリスクとして最も適切なのはどれか。</t>
  </si>
  <si>
    <t>点数 - クラウド利用におけるセキュリティリスクとして最も適切なのはどれか。</t>
  </si>
  <si>
    <t>クラウドストレージを業務で利用する際に、情報漏えいリスクの観点から最も注意すべき点はどれか。</t>
  </si>
  <si>
    <t>フィードバック - クラウドストレージを業務で利用する際に、情報漏えいリスクの観点から最も注意すべき点はどれか。</t>
  </si>
  <si>
    <t>点数 - クラウドストレージを業務で利用する際に、情報漏えいリスクの観点から最も注意すべき点はどれか。</t>
  </si>
  <si>
    <t>クラウドサービスを比較・選定する際に、特に重視すべき観点はどれか。</t>
  </si>
  <si>
    <t>フィードバック - クラウドサービスを比較・選定する際に、特に重視すべき観点はどれか。</t>
  </si>
  <si>
    <t>点数 - クラウドサービスを比較・選定する際に、特に重視すべき観点はどれか。</t>
  </si>
  <si>
    <t>クラウドサービス導入後の運用で、安定運用や改善のために重要な取り組みはどれか。</t>
  </si>
  <si>
    <t>フィードバック - クラウドサービス導入後の運用で、安定運用や改善のために重要な取り組みはどれか。</t>
  </si>
  <si>
    <t>点数 - クラウドサービス導入後の運用で、安定運用や改善のために重要な取り組みはどれか。</t>
  </si>
  <si>
    <t>シャドーITがリスクとされる理由として最も適切なものはどれか。</t>
  </si>
  <si>
    <t>フィードバック - シャドーITがリスクとされる理由として最も適切なものはどれか。</t>
  </si>
  <si>
    <t>点数 - シャドーITがリスクとされる理由として最も適切なものはどれか。</t>
  </si>
  <si>
    <t>クラウドサービス契約時に確認すべきSLA（サービスレベル合意）の項目として最も適切なものはどれか。</t>
  </si>
  <si>
    <t>フィードバック - クラウドサービス契約時に確認すべきSLA（サービスレベル合意）の項目として最も適切なものはどれか。</t>
  </si>
  <si>
    <t>点数 - クラウドサービス契約時に確認すべきSLA（サービスレベル合意）の項目として最も適切なものはどれか。</t>
  </si>
  <si>
    <t>クラウドにおけるデータ保存場所の取り扱いとして正しいものはどれか。</t>
  </si>
  <si>
    <t>フィードバック - クラウドにおけるデータ保存場所の取り扱いとして正しいものはどれか。</t>
  </si>
  <si>
    <t>点数 - クラウドにおけるデータ保存場所の取り扱いとして正しいものはどれか。</t>
  </si>
  <si>
    <t>CSPM（Cloud Security Posture Management）ツールの主な役割として最も適切なのはどれか。</t>
  </si>
  <si>
    <t>フィードバック - CSPM（Cloud Security Posture Management）ツールの主な役割として最も適切なのはどれか。</t>
  </si>
  <si>
    <t>点数 - CSPM（Cloud Security Posture Management）ツールの主な役割として最も適切なのはどれか。</t>
  </si>
  <si>
    <t>8/21/25 9:01:26</t>
  </si>
  <si>
    <t>8/21/25 9:23:30</t>
  </si>
  <si>
    <t>anonymous</t>
  </si>
  <si>
    <t>12文字以上への一斉延長</t>
  </si>
  <si>
    <t>総当たり・辞書攻撃の試行回数を指数的に増やす</t>
  </si>
  <si>
    <t>マスターパスワードの漏えい</t>
  </si>
  <si>
    <t>ハードトークン在庫確保</t>
  </si>
  <si>
    <t>パスワードの紙での管理を禁止する</t>
  </si>
  <si>
    <t>PIN＋認証アプリ</t>
  </si>
  <si>
    <t>ログインページのなりすまし</t>
  </si>
  <si>
    <t>公開鍵を安全にクラウド同期すること</t>
  </si>
  <si>
    <t>個人情報や社名など推測容易語を避けること</t>
  </si>
  <si>
    <t>各システムの認証方式や管理方法の棚卸し</t>
  </si>
  <si>
    <t>フィッシング対策とスムーズなログイン体験</t>
  </si>
  <si>
    <t>ソーシャルエンジニアリングによる認証回避</t>
  </si>
  <si>
    <t>ユーザーが本人であることを確認するための仕組み</t>
  </si>
  <si>
    <t>アクセスの可否と本人確認とで目的が異なるため、設計思想を分ける必要があるため</t>
  </si>
  <si>
    <t>業務に必要最小限の権限のみを付与し、未使用権限を定期監査する</t>
  </si>
  <si>
    <t>定期的な権限レビューと棚卸しを実施すること</t>
  </si>
  <si>
    <t>利用するシステム環境や認証要件に適した標準規格を選ぶこと</t>
  </si>
  <si>
    <t>認証情報の保存や送信には暗号化を徹底する</t>
  </si>
  <si>
    <t>保管時・送信時の暗号化を徹底し、アクセス制御を厳格に行う</t>
  </si>
  <si>
    <t>認証手段が複雑化し、ログイン操作が煩雑になった場合</t>
  </si>
  <si>
    <t>利便性とセキュリティのバランスを取りながら、要件に応じた適切な手段を設計すること</t>
  </si>
  <si>
    <t>普段とは異なる場所や端末からのアクセスが多く、不正利用のリスクが高い環境</t>
  </si>
  <si>
    <t>全てのリクエスト情報を保持すること</t>
  </si>
  <si>
    <t>不正アクセスや異常な認証行動を検知するためにログを定期的に分析する</t>
  </si>
  <si>
    <t>公衆Wi-Fiや家族共用端末の利用による情報漏洩リスク </t>
  </si>
  <si>
    <t>複数のクラウドサービス間での統一的なセキュリティルールと設定管理</t>
  </si>
  <si>
    <t>画面ロックやパスワードの設定を徹底し、外部からの覗き見や不正アクセスを防ぐ</t>
  </si>
  <si>
    <t>私物端末でOSやソフトの更新がされていない状態</t>
  </si>
  <si>
    <t>暗号化されていないフリーWi-Fiへの接続</t>
  </si>
  <si>
    <t>フリーWi-FiやVPN経由の侵入など自宅外通信経路が狙われやすい</t>
  </si>
  <si>
    <t>自宅ネットワーク機器の脆弱性</t>
  </si>
  <si>
    <t>クラウド直結型</t>
  </si>
  <si>
    <t>データ持ち出しによる情報漏えいのリスク</t>
  </si>
  <si>
    <t>第三者による盗聴や改ざん</t>
  </si>
  <si>
    <t>端末の暗号化とVPNの利用</t>
  </si>
  <si>
    <t>覗き見防止フィルターの活用</t>
  </si>
  <si>
    <t>社内ネットワーク内であれば全てのユーザーや端末を信頼できるという前提が崩れたため</t>
  </si>
  <si>
    <t>一度侵入されると内部で横移動が可能になる</t>
  </si>
  <si>
    <t>信頼の置き方</t>
  </si>
  <si>
    <t>すべての通信を保護する</t>
  </si>
  <si>
    <t>資産を脆弱性のない状態に保つ</t>
  </si>
  <si>
    <t>各アクセスごとにリスクを評価してポリシーを適用する</t>
  </si>
  <si>
    <t>エンドポイントの健康状態の変化</t>
  </si>
  <si>
    <t>設定ミスが増加し全体像が把握できなくなる</t>
  </si>
  <si>
    <t>ID／アカウントの棚卸し</t>
  </si>
  <si>
    <t>業務プロセスを丁寧に整理し段階的に導入する</t>
  </si>
  <si>
    <t>ネットワーク依存からID・端末・データ中心へ移る</t>
  </si>
  <si>
    <t>働く場所の制約がなくなりデータ持ち出し管理も強化された</t>
  </si>
  <si>
    <t>導入や拡張の柔軟性が高い</t>
  </si>
  <si>
    <t>データの保管とアクセス制御</t>
  </si>
  <si>
    <t>システム全体を仮想化する</t>
  </si>
  <si>
    <t>OSやネットワークを自社で管理したいとき</t>
  </si>
  <si>
    <t>設定ミスによる情報漏えい</t>
  </si>
  <si>
    <t>外部共有設定の管理</t>
  </si>
  <si>
    <t>セキュリティ機能やログの取得範囲</t>
  </si>
  <si>
    <t>利用状況のモニタリングと定期的な見直し</t>
  </si>
  <si>
    <t>セキュリティ統制が効かず、情報漏えいのリスクが高まる</t>
  </si>
  <si>
    <t>稼働率や復旧時間</t>
  </si>
  <si>
    <t>国や地域によって法規制が異なる</t>
  </si>
  <si>
    <t>設定ミスの検出とリスクの可視化</t>
  </si>
  <si>
    <t>8/21/25 9:11:33</t>
  </si>
  <si>
    <t>8/21/25 9:30:37</t>
  </si>
  <si>
    <t>漏えいチェック連携による使い回し検知</t>
  </si>
  <si>
    <t>漏えい検知の即時トリガー</t>
  </si>
  <si>
    <t>スマートカード＋指紋</t>
  </si>
  <si>
    <t>SAML署名検証が無効化されている場合</t>
  </si>
  <si>
    <t>SMS認証を必須とすること</t>
  </si>
  <si>
    <t> AiTM攻撃によるリアルタイム認証情報の悪用</t>
  </si>
  <si>
    <t>管理画面が複雑になるのを防ぐため</t>
  </si>
  <si>
    <t>権限昇格操作をリアルタイム監視し、異常検知時に自動無効化する</t>
  </si>
  <si>
    <t> ログイン頻度と業務実績に応じて段階的に権限を拡大し利便性を向上させる</t>
  </si>
  <si>
    <t>ユーザーが意識しないレベルで透明性を保ちながら、常に多層的な認証を実装すること</t>
  </si>
  <si>
    <t>システムメンテナンスによる認証設定変更が頻繁に発生する環境</t>
  </si>
  <si>
    <t>アクション単位で必要な情報が記録されていること</t>
  </si>
  <si>
    <t>カフェや公共のWi-Fiを利用して業務データを送受信する</t>
  </si>
  <si>
    <t>メモリ仮想化型</t>
  </si>
  <si>
    <t>作業完了後のデータ削除が確実に行われないリスク</t>
  </si>
  <si>
    <t>アクセス制御のためのIPアドレスの指定方法</t>
  </si>
  <si>
    <t>ネットワーク帯域を削減する</t>
  </si>
  <si>
    <t>社内Wi‑FiのSSID変更</t>
  </si>
  <si>
    <t>不要ポリシーの統合・削除</t>
  </si>
  <si>
    <t>IPアドレスを社内帯域に限定する</t>
  </si>
  <si>
    <t>VPNを常時利用する運用に統一し、すべての通信をVPN経由とした</t>
  </si>
  <si>
    <t>どんなに使用しても料金が変わらなくなる</t>
  </si>
  <si>
    <t>ハードウェアの障害対応</t>
  </si>
  <si>
    <t>社内メンバーの編集権限漏れ</t>
  </si>
  <si>
    <t>利用ユーザー数の上限と超過時の課金方式</t>
  </si>
  <si>
    <t>保存場所の選定はクラウド利用者の責任であり、提供者は関与しない</t>
  </si>
  <si>
    <t>クラウドストレージのデータ自動暗号化</t>
  </si>
  <si>
    <t>8/21/25 9:14:50</t>
  </si>
  <si>
    <t>8/21/25 9:43:51</t>
  </si>
  <si>
    <t>SSO外システムの色統一</t>
  </si>
  <si>
    <t>ユーザビリティ優先のツール活用と統制</t>
  </si>
  <si>
    <t>必ず4種の文字種を使用すること</t>
  </si>
  <si>
    <t>業務システム間のID連携自動化</t>
  </si>
  <si>
    <t>SQLインジェクションによるデータベース侵害</t>
  </si>
  <si>
    <t>信頼できるサードパーティのIDaaS事業者に認証基盤を完全委託する</t>
  </si>
  <si>
    <t>複数の管理者が権限を分担して認証システムを運用している環境</t>
  </si>
  <si>
    <t>社内接続型</t>
  </si>
  <si>
    <t>境界内の通信は保護不要とする</t>
  </si>
  <si>
    <t>ユーザーはソフトをインストールせずに利用できる</t>
  </si>
  <si>
    <t>表計算ツールだけ使いたいとき</t>
  </si>
  <si>
    <t>8/21/25 9:22:08</t>
  </si>
  <si>
    <t>8/21/25 9:46:49</t>
  </si>
  <si>
    <t>フィッシングURLの検知漏れ</t>
  </si>
  <si>
    <t>認証プロバイダーが単一障害点となっている場合</t>
  </si>
  <si>
    <t>90日ごとの変更を必須とすること</t>
  </si>
  <si>
    <t> セッションハイジャックによる認証後の乗っ取り</t>
  </si>
  <si>
    <t>法的要件を満たすため、すべてのログを統一的に3年以上の長期保存する</t>
  </si>
  <si>
    <t>デスクトップにファイルやフォルダが大量に保存されている状態</t>
  </si>
  <si>
    <t>オフィスの省スペース化が進み、物理的なセキュリティ機器の設置が難しくなったため</t>
  </si>
  <si>
    <t>公式経路の提示</t>
  </si>
  <si>
    <t>サーバの構築から保守まで担う</t>
  </si>
  <si>
    <t>開発なしでサービスをすぐ開始したいとき</t>
  </si>
  <si>
    <t>8/21/25 9:30:31</t>
  </si>
  <si>
    <t>8/21/25 10:00:30</t>
  </si>
  <si>
    <t>ID統合失敗</t>
  </si>
  <si>
    <t>セキュリティ監査の要件を満たすため</t>
  </si>
  <si>
    <t>上司承認をもとに恒久的な管理者権限を自動付与する</t>
  </si>
  <si>
    <t>ユーザーに認証ステータスが視覚的にわかりにくくなった場合</t>
  </si>
  <si>
    <t>利用者からのインシデント報告があった場合のみ、過去のログを遡って確認する</t>
  </si>
  <si>
    <t>VPNゲートウェイの混雑</t>
  </si>
  <si>
    <t>デスク周りのデバイスを管理しやすい状態に保つ</t>
  </si>
  <si>
    <t>ID管理をオンプレミスに統一したことにより、海外拠点やリモートワーク利用者への認証サービスの拡張も強化された</t>
  </si>
  <si>
    <t>マルウェア感染端末のネットワーク隔離</t>
  </si>
  <si>
    <t>8/21/25 9:39:19</t>
  </si>
  <si>
    <t>8/21/25 10:06:32</t>
  </si>
  <si>
    <t>PIN桁数変更</t>
  </si>
  <si>
    <t>顔認証＋虹彩認証</t>
  </si>
  <si>
    <t>通信速度が遅い地域からのアクセスが多く、認証処理に時間がかかる環境</t>
  </si>
  <si>
    <t>セキュリティ運用の自動化方針</t>
  </si>
  <si>
    <t>利用ログが長期保存できなくなる</t>
  </si>
  <si>
    <t>物理サーバ台数を固定する</t>
  </si>
  <si>
    <t>回線の保守点検</t>
  </si>
  <si>
    <t>従量課金によるコストの増加</t>
  </si>
  <si>
    <t>アカウント重複により監査ログの集約が煩雑になる</t>
  </si>
  <si>
    <t>8/21/25 10:20:51</t>
  </si>
  <si>
    <t>8/21/25 10:45:08</t>
  </si>
  <si>
    <t>パスワード定期変更の義務化</t>
  </si>
  <si>
    <t>パスワード＋打鍵パターン</t>
  </si>
  <si>
    <t>パスワードの再設定工数の削減</t>
  </si>
  <si>
    <t>定義済みのIPレンジを信頼する</t>
  </si>
  <si>
    <t>拠点ファイアウォールを増設して防御を強化する</t>
  </si>
  <si>
    <t>8/21/25 10:58:10</t>
  </si>
  <si>
    <t>8/21/25 11:26:35</t>
  </si>
  <si>
    <t>両者のログが混在するとデータ容量が膨大になるため</t>
  </si>
  <si>
    <t>ユーザーが意識しなくてよいものを優先すること</t>
  </si>
  <si>
    <t>UIにアニメーションを入れすぎてレスポンスが悪化した場合</t>
  </si>
  <si>
    <t> 自社データセンターの運用・保守負荷の増大</t>
  </si>
  <si>
    <t>アカウントの多要素認証</t>
  </si>
  <si>
    <t>ネットワーク機器の保守契約更新</t>
  </si>
  <si>
    <t>ネットワーク機器の運用管理が中心</t>
  </si>
  <si>
    <t>8/21/25 11:17:16</t>
  </si>
  <si>
    <t>8/21/25 11:47:16</t>
  </si>
  <si>
    <t>複数アカウントを使っている状態</t>
  </si>
  <si>
    <t>ディスク容量が不足する</t>
  </si>
  <si>
    <t>わからない</t>
  </si>
  <si>
    <t>ネットワーク負荷が増加する</t>
  </si>
  <si>
    <t>8/21/25 13:08:14</t>
  </si>
  <si>
    <t>8/21/25 13:37:50</t>
  </si>
  <si>
    <t>管理者による定期監査の実施</t>
  </si>
  <si>
    <t>アクセス元IPだけで許可・拒否を判断する</t>
  </si>
  <si>
    <t>クラウド利用料が急増する</t>
  </si>
  <si>
    <t>すべての業務端末を社内ネットワークに接続しないと利用できないようになった</t>
  </si>
  <si>
    <t>8/21/25 13:09:44</t>
  </si>
  <si>
    <t>8/21/25 13:39:43</t>
  </si>
  <si>
    <t>90日ごとの自動リセット</t>
  </si>
  <si>
    <t>管理者のみに認証情報を共有する</t>
  </si>
  <si>
    <t>VPNを全社禁止にする</t>
  </si>
  <si>
    <t>ストレージ容量の上限</t>
  </si>
  <si>
    <t>利用規約の分量</t>
  </si>
  <si>
    <t>8/21/25 13:53:59</t>
  </si>
  <si>
    <t>8/21/25 14:20:53</t>
  </si>
  <si>
    <t>私用の個人PCを業務で自由に使用する</t>
  </si>
  <si>
    <t>8/21/25 14:33:06</t>
  </si>
  <si>
    <t>8/21/25 14:53:24</t>
  </si>
  <si>
    <t>VPNの同時接続</t>
  </si>
  <si>
    <t>8/21/25 14:26:21</t>
  </si>
  <si>
    <t>8/21/25 14:55:23</t>
  </si>
  <si>
    <t>保存先は常に自社が指定できる</t>
  </si>
  <si>
    <t>8/21/25 15:56:42</t>
  </si>
  <si>
    <t>8/21/25 16:14:10</t>
  </si>
  <si>
    <t>保存場所はサービス品質に関係しないため、意識する必要はない</t>
  </si>
  <si>
    <t>8/21/25 16:20:11</t>
  </si>
  <si>
    <t>8/21/25 16:48:42</t>
  </si>
  <si>
    <t>8/21/25 16:30:30</t>
  </si>
  <si>
    <t>8/21/25 16:53:11</t>
  </si>
  <si>
    <t>定期パスワード変更のみで十分とする</t>
  </si>
  <si>
    <t>8/21/25 16:45:11</t>
  </si>
  <si>
    <t>8/21/25 17:11:36</t>
  </si>
  <si>
    <t>すべての権限変更を管理者が手動承認し、変更履歴を詳細に記録する </t>
  </si>
  <si>
    <t>社内ネットワークへの未許可接続により帯域利用に影響が出る</t>
  </si>
  <si>
    <t>8/21/25 17:21:58</t>
  </si>
  <si>
    <t>8/21/25 17:38:35</t>
  </si>
  <si>
    <t>ファイルに記載した上で鍵付きの保管庫で保管する</t>
  </si>
  <si>
    <t>8/22/25 8:30:43</t>
  </si>
  <si>
    <t>8/22/25 9:00:41</t>
  </si>
  <si>
    <t>オフィスのファイアウォールによる保護が受けられないこと </t>
  </si>
  <si>
    <t>8/22/25 8:46:32</t>
  </si>
  <si>
    <t>8/22/25 9:16:32</t>
  </si>
  <si>
    <t>自動入力ミス</t>
  </si>
  <si>
    <t>部署ごとに権限テンプレートを標準化し、例外申請は禁止する</t>
  </si>
  <si>
    <t>エンドポイント認証が自動化される</t>
  </si>
  <si>
    <t>8/22/25 9:24:36</t>
  </si>
  <si>
    <t>8/22/25 9:30:47</t>
  </si>
  <si>
    <t>IdP構築が簡素化する</t>
  </si>
  <si>
    <t>ユーザーの権限を細かく設定するための仕組み</t>
  </si>
  <si>
    <t>セキュリティを最優先に設計し、利便性やユーザビリティは二次的な考慮事項とすること</t>
  </si>
  <si>
    <t>データバックアップ容量の急激な増加とストレージコストの上昇</t>
  </si>
  <si>
    <t>8/22/25 9:38:56</t>
  </si>
  <si>
    <t>8/22/25 10:08:55</t>
  </si>
  <si>
    <t>秘密鍵を共有ドライブに置くこと</t>
  </si>
  <si>
    <t>8/22/25 9:47:13</t>
  </si>
  <si>
    <t>8/22/25 10:15:20</t>
  </si>
  <si>
    <t>8/22/25 10:14:10</t>
  </si>
  <si>
    <t>8/22/25 10:32:36</t>
  </si>
  <si>
    <t>オプション利用者が設定を変更できない 4</t>
  </si>
  <si>
    <t>8/22/25 10:19:58</t>
  </si>
  <si>
    <t>8/22/25 10:48:00</t>
  </si>
  <si>
    <t>8/22/25 10:51:45</t>
  </si>
  <si>
    <t>8/22/25 11:21:46</t>
  </si>
  <si>
    <t>利用者ごとの画面遷移履歴を保存すること</t>
  </si>
  <si>
    <t>8/22/25 10:53:17</t>
  </si>
  <si>
    <t>8/22/25 11:23:15</t>
  </si>
  <si>
    <t>自社ビルが不要になる</t>
  </si>
  <si>
    <t>8/22/25 10:58:39</t>
  </si>
  <si>
    <t>8/22/25 11:26:46</t>
  </si>
  <si>
    <t>サイバー攻撃は出勤時と変わらない</t>
  </si>
  <si>
    <t>フォルダ階層の設計ミス</t>
  </si>
  <si>
    <t>8/22/25 11:13:50</t>
  </si>
  <si>
    <t>8/22/25 11:43:20</t>
  </si>
  <si>
    <t>ブラウザキャッシュの削除</t>
  </si>
  <si>
    <t>8/22/25 12:33:59</t>
  </si>
  <si>
    <t>8/22/25 13:04:00</t>
  </si>
  <si>
    <t>8/22/25 13:12:18</t>
  </si>
  <si>
    <t>8/22/25 13:41:28</t>
  </si>
  <si>
    <t>8/22/25 14:17:21</t>
  </si>
  <si>
    <t>8/22/25 14:31:44</t>
  </si>
  <si>
    <t>開発チームにとって最も実装しやすいものを選ぶこと</t>
  </si>
  <si>
    <t>社外からの通信が常に暗号化される</t>
  </si>
  <si>
    <t>8/22/25 14:38:25</t>
  </si>
  <si>
    <t>8/22/25 15:08:25</t>
  </si>
  <si>
    <t>データセンターの防火管理</t>
  </si>
  <si>
    <t>8/22/25 15:00:49</t>
  </si>
  <si>
    <t>8/22/25 15:30:48</t>
  </si>
  <si>
    <t>8/22/25 15:24:49</t>
  </si>
  <si>
    <t>8/22/25 15:41:07</t>
  </si>
  <si>
    <t>8/22/25 15:57:13</t>
  </si>
  <si>
    <t>8/22/25 16:27:01</t>
  </si>
  <si>
    <t>ユーザーの記憶能力に依存した管理方式を採用し、システム側での保存は最小限にする</t>
  </si>
  <si>
    <t>外部へのメール配信だけを行いたいとき</t>
  </si>
  <si>
    <t>8/22/25 16:33:18</t>
  </si>
  <si>
    <t>8/22/25 17:03:17</t>
  </si>
  <si>
    <t>ネットワークの通信経路を最適化する手段</t>
  </si>
  <si>
    <t>ログの常時分析</t>
  </si>
  <si>
    <t>全権限を最初に一括展開する</t>
  </si>
  <si>
    <t>8/22/25 16:50:03</t>
  </si>
  <si>
    <t>8/22/25 17:05:46</t>
  </si>
  <si>
    <t>8/22/25 17:36:27</t>
  </si>
  <si>
    <t>8/22/25 18:06:01</t>
  </si>
  <si>
    <t>オンプレミスサーバーの処理能力不足による性能低下 </t>
  </si>
  <si>
    <t>ファイアウォールの性能が過剰になり、運用コストがかかるようになったため</t>
  </si>
  <si>
    <t>8/22/25 18:11:18</t>
  </si>
  <si>
    <t>8/22/25 18:38:43</t>
  </si>
  <si>
    <t>8/25/25 7:36:49</t>
  </si>
  <si>
    <t>8/25/25 8:06:48</t>
  </si>
  <si>
    <t>8/25/25 8:29:42</t>
  </si>
  <si>
    <t>8/25/25 8:55:12</t>
  </si>
  <si>
    <t>導入企業数の多さ</t>
  </si>
  <si>
    <t>8/25/25 8:33:22</t>
  </si>
  <si>
    <t>8/25/25 9:03:22</t>
  </si>
  <si>
    <t>8/25/25 8:37:58</t>
  </si>
  <si>
    <t>8/25/25 9:07:57</t>
  </si>
  <si>
    <t>建物の老朽化</t>
  </si>
  <si>
    <t>拠点内にポスターを掲示する</t>
  </si>
  <si>
    <t>8/25/25 8:40:40</t>
  </si>
  <si>
    <t>8/25/25 9:10:40</t>
  </si>
  <si>
    <t>ダウンロード時のネットワーク帯域の圧迫</t>
  </si>
  <si>
    <t>8/25/25 9:18:45</t>
  </si>
  <si>
    <t>8/25/25 9:43:53</t>
  </si>
  <si>
    <t>オフライン型</t>
  </si>
  <si>
    <t>8/25/25 9:14:33</t>
  </si>
  <si>
    <t>8/25/25 9:44:33</t>
  </si>
  <si>
    <t>8/25/25 9:32:17</t>
  </si>
  <si>
    <t>8/25/25 10:00:32</t>
  </si>
  <si>
    <t>8/25/25 9:48:10</t>
  </si>
  <si>
    <t>8/25/25 10:16:53</t>
  </si>
  <si>
    <t>8/25/25 12:37:23</t>
  </si>
  <si>
    <t>8/25/25 13:11:04</t>
  </si>
  <si>
    <t>8/25/25 13:14:28</t>
  </si>
  <si>
    <t>8/25/25 13:44:28</t>
  </si>
  <si>
    <t>8/25/25 18:51:19</t>
  </si>
  <si>
    <t>8/25/25 19:17:36</t>
  </si>
  <si>
    <t>セクション</t>
    <phoneticPr fontId="5"/>
  </si>
  <si>
    <t>設問</t>
  </si>
  <si>
    <t>問題番号</t>
  </si>
  <si>
    <t>配点</t>
  </si>
  <si>
    <t>合計</t>
  </si>
  <si>
    <t>パスワード管理</t>
    <rPh sb="5" eb="7">
      <t>カンリ</t>
    </rPh>
    <phoneticPr fontId="5"/>
  </si>
  <si>
    <t>認証設計</t>
    <rPh sb="0" eb="4">
      <t>ニンショウセッケイ</t>
    </rPh>
    <phoneticPr fontId="5"/>
  </si>
  <si>
    <t>テレワーク</t>
    <phoneticPr fontId="5"/>
  </si>
  <si>
    <t>テレワーク環境において、従来のオフィス勤務と比較して最も注意すべきセキュリティリスクはどれか。</t>
  </si>
  <si>
    <t>ゼロトラスト</t>
    <phoneticPr fontId="5"/>
  </si>
  <si>
    <t>クラウドサービス</t>
    <phoneticPr fontId="5"/>
  </si>
  <si>
    <t>氏名</t>
    <phoneticPr fontId="5"/>
  </si>
  <si>
    <t>総合得点（60点満点）</t>
    <rPh sb="7" eb="10">
      <t>テンマンテン</t>
    </rPh>
    <phoneticPr fontId="5"/>
  </si>
  <si>
    <t>松原史昂</t>
    <phoneticPr fontId="5"/>
  </si>
  <si>
    <t>幸坂京子</t>
    <phoneticPr fontId="5"/>
  </si>
  <si>
    <t>丸野裕之</t>
    <phoneticPr fontId="5"/>
  </si>
  <si>
    <t>長尾駿</t>
    <phoneticPr fontId="5"/>
  </si>
  <si>
    <t>藤井友人</t>
    <phoneticPr fontId="5"/>
  </si>
  <si>
    <t>大西恒生</t>
    <phoneticPr fontId="5"/>
  </si>
  <si>
    <t>梶山大介</t>
    <phoneticPr fontId="5"/>
  </si>
  <si>
    <t>福田総平</t>
    <phoneticPr fontId="5"/>
  </si>
  <si>
    <t>藤井道拡</t>
    <phoneticPr fontId="5"/>
  </si>
  <si>
    <t>枡井直子</t>
    <phoneticPr fontId="5"/>
  </si>
  <si>
    <t>高田恵</t>
    <phoneticPr fontId="5"/>
  </si>
  <si>
    <t>斉藤清</t>
    <phoneticPr fontId="5"/>
  </si>
  <si>
    <t>東川聖宏</t>
    <phoneticPr fontId="5"/>
  </si>
  <si>
    <t>高登康之</t>
    <phoneticPr fontId="5"/>
  </si>
  <si>
    <t>大雲信幸</t>
    <phoneticPr fontId="5"/>
  </si>
  <si>
    <t>由良拓巳</t>
    <phoneticPr fontId="5"/>
  </si>
  <si>
    <t>寅丸英美</t>
    <phoneticPr fontId="5"/>
  </si>
  <si>
    <t>原本侑季</t>
    <phoneticPr fontId="5"/>
  </si>
  <si>
    <t>森田尚子</t>
    <phoneticPr fontId="5"/>
  </si>
  <si>
    <t>三浦幸夫</t>
    <phoneticPr fontId="5"/>
  </si>
  <si>
    <t>寺川慎也</t>
    <phoneticPr fontId="5"/>
  </si>
  <si>
    <t>王娜</t>
    <phoneticPr fontId="5"/>
  </si>
  <si>
    <t>松浦芳行</t>
    <phoneticPr fontId="5"/>
  </si>
  <si>
    <t>出本真由美</t>
    <phoneticPr fontId="5"/>
  </si>
  <si>
    <t>岩見陽一</t>
    <phoneticPr fontId="5"/>
  </si>
  <si>
    <t>瀬田元気</t>
    <phoneticPr fontId="5"/>
  </si>
  <si>
    <t>由本健一朗</t>
    <phoneticPr fontId="5"/>
  </si>
  <si>
    <t>伊藤隼一</t>
    <phoneticPr fontId="5"/>
  </si>
  <si>
    <t>山野祐嗣</t>
    <phoneticPr fontId="5"/>
  </si>
  <si>
    <t>河部真美子</t>
    <phoneticPr fontId="5"/>
  </si>
  <si>
    <t>矢可部雅彦</t>
    <phoneticPr fontId="5"/>
  </si>
  <si>
    <t>兼本勝利</t>
    <phoneticPr fontId="5"/>
  </si>
  <si>
    <t>坂本昭</t>
    <phoneticPr fontId="5"/>
  </si>
  <si>
    <t>山口賢悟</t>
    <phoneticPr fontId="5"/>
  </si>
  <si>
    <t>古山真也</t>
    <phoneticPr fontId="5"/>
  </si>
  <si>
    <t>中島令生那</t>
    <phoneticPr fontId="5"/>
  </si>
  <si>
    <t>須村元昭</t>
    <phoneticPr fontId="5"/>
  </si>
  <si>
    <t>濱本美沙</t>
    <phoneticPr fontId="5"/>
  </si>
  <si>
    <t>坂本啓行</t>
    <phoneticPr fontId="5"/>
  </si>
  <si>
    <t>田川圭佑</t>
    <phoneticPr fontId="5"/>
  </si>
  <si>
    <t>中間小百合</t>
    <phoneticPr fontId="5"/>
  </si>
  <si>
    <t>近藤孝之</t>
    <phoneticPr fontId="5"/>
  </si>
  <si>
    <t>武永基裕</t>
    <phoneticPr fontId="5"/>
  </si>
  <si>
    <t>空田康博</t>
    <phoneticPr fontId="5"/>
  </si>
  <si>
    <t>中井昌治</t>
    <phoneticPr fontId="5"/>
  </si>
  <si>
    <t>伊達義典</t>
    <phoneticPr fontId="5"/>
  </si>
  <si>
    <t>小柳優</t>
    <phoneticPr fontId="5"/>
  </si>
  <si>
    <t>谷千帆里</t>
    <phoneticPr fontId="5"/>
  </si>
  <si>
    <t>青山悠</t>
    <phoneticPr fontId="5"/>
  </si>
  <si>
    <t>福田翔</t>
    <phoneticPr fontId="5"/>
  </si>
  <si>
    <t>西村知也</t>
    <phoneticPr fontId="5"/>
  </si>
  <si>
    <t>青柳幸司</t>
    <phoneticPr fontId="5"/>
  </si>
  <si>
    <t>武井淳二</t>
    <phoneticPr fontId="5"/>
  </si>
  <si>
    <t>平均</t>
    <rPh sb="0" eb="2">
      <t>ヘイキン</t>
    </rPh>
    <phoneticPr fontId="5"/>
  </si>
  <si>
    <t>総合得点</t>
    <phoneticPr fontId="5"/>
  </si>
  <si>
    <t>平均</t>
  </si>
  <si>
    <t>■総合評価</t>
    <rPh sb="1" eb="5">
      <t>ソウゴウヒョウカ</t>
    </rPh>
    <phoneticPr fontId="9"/>
  </si>
  <si>
    <t>総合点</t>
    <rPh sb="0" eb="3">
      <t>ソウゴウテン</t>
    </rPh>
    <phoneticPr fontId="9"/>
  </si>
  <si>
    <t>■ポテンシャルグラフ</t>
    <phoneticPr fontId="9"/>
  </si>
  <si>
    <t>■スキルカテゴリごとの点数</t>
    <rPh sb="11" eb="13">
      <t>テンスウ</t>
    </rPh>
    <phoneticPr fontId="9"/>
  </si>
  <si>
    <t>要素</t>
  </si>
  <si>
    <t>社内平均</t>
  </si>
  <si>
    <t>今回の得点</t>
  </si>
  <si>
    <t>■コメント</t>
    <phoneticPr fontId="9"/>
  </si>
  <si>
    <t>総合的なコメント</t>
    <rPh sb="0" eb="3">
      <t>ソウゴウテキ</t>
    </rPh>
    <phoneticPr fontId="9"/>
  </si>
  <si>
    <t>強みのコメント</t>
    <rPh sb="0" eb="1">
      <t>ツヨ</t>
    </rPh>
    <phoneticPr fontId="9"/>
  </si>
  <si>
    <t>改善点のコメント</t>
    <rPh sb="0" eb="3">
      <t>カイゼンテン</t>
    </rPh>
    <phoneticPr fontId="9"/>
  </si>
  <si>
    <t>今回のアセスメントでは全体として平均を下回る結果となり、理解が部分的に偏っている様子が見受けられました。特に認証設計やクラウドサービスの分野では低めの得点となっており、基礎的な仕組みや考え方を整理する必要があります。一方で、パスワード管理やテレワークではある程度の得点を確保しており、既に理解が進んでいる領域も確認できました。今後は弱点となっている分野を補強することで、全体的なバランスが改善されることが期待されます。</t>
    <phoneticPr fontId="5"/>
  </si>
  <si>
    <t>パスワード管理については社内平均を上回る結果を示しており、基本的な考え方や運用面に関する理解が進んでいる点が強みといえます。また、テレワークの分野でも一定の得点を記録しており、リモート環境で必要とされるセキュリティの視点を意識できていることがうかがえます。これらの領域は引き続き安定して活用できる力として伸ばしていけるでしょう。</t>
    <phoneticPr fontId="5"/>
  </si>
  <si>
    <t>認証設計とクラウドサービスに関しては平均を大きく下回っており、理解の不足が目立ちました。特に認証における設計思想やクラウド利用時のリスク認識については、今後重点的に補強する必要があります。またゼロトラストについても十分に得点を伸ばしきれていないため、基本的な考え方を改めて整理することが望まれます。これらを意識的に学習することで、既に得点できている領域とのバランスが整い、全体的な理解度が向上するでしょう。</t>
    <phoneticPr fontId="5"/>
  </si>
  <si>
    <t>要素</t>
    <phoneticPr fontId="5"/>
  </si>
  <si>
    <t>今回のアセスメントでは総合的に高い得点を記録し、各分野でバランスの取れた理解度を示しました。特にテレワークでは平均を大きく上回り、実務に近い環境でのセキュリティ課題を的確に捉えられていることがわかります。また、ゼロトラストやクラウドサービスでも安定した結果を収めており、新しいセキュリティの考え方に対しても十分に対応できています。一方で、パスワード管理の分野は他と比べてやや控えめの得点にとどまっており、基本的な運用の整理が今後の課題といえます。</t>
    <phoneticPr fontId="5"/>
  </si>
  <si>
    <t>テレワークにおいては 4.58 点と非常に高い得点を獲得し、リモート環境におけるリスクや対策を正しく理解できていることが示されています。さらに、ゼロトラストやクラウドサービスでも平均を大きく上回っており、現代のセキュリティトレンドに即した幅広い知識が備わっています。認証設計も平均を超えており、全体的に安定感のある理解度が確認できました。</t>
    <phoneticPr fontId="5"/>
  </si>
  <si>
    <t>パスワード管理については 2.92 点と、他の分野に比べると得点が低めの結果となりました。パスワード運用に関する基本的な知識は押さえられていますが、最新の考え方や利便性とのバランスを整理する余地があります。基礎を補強することで、既に高得点を収めている他の領域との整合性がさらに高まり、知識の一貫性が強化されるでしょう。</t>
    <phoneticPr fontId="5"/>
  </si>
  <si>
    <t>aa</t>
    <phoneticPr fontId="5"/>
  </si>
  <si>
    <r>
      <t>山田</t>
    </r>
    <r>
      <rPr>
        <sz val="11"/>
        <color rgb="FF000000"/>
        <rFont val="Calibri"/>
        <family val="2"/>
      </rPr>
      <t xml:space="preserve"> </t>
    </r>
    <r>
      <rPr>
        <sz val="11"/>
        <color rgb="FF000000"/>
        <rFont val="ＭＳ Ｐゴシック"/>
        <family val="3"/>
        <charset val="128"/>
      </rPr>
      <t>太郎</t>
    </r>
  </si>
  <si>
    <t>yamada.taro@example.com</t>
  </si>
  <si>
    <r>
      <t>佐藤</t>
    </r>
    <r>
      <rPr>
        <sz val="11"/>
        <color rgb="FF000000"/>
        <rFont val="Calibri"/>
        <family val="2"/>
      </rPr>
      <t xml:space="preserve"> </t>
    </r>
    <r>
      <rPr>
        <sz val="11"/>
        <color rgb="FF000000"/>
        <rFont val="ＭＳ Ｐゴシック"/>
        <family val="3"/>
        <charset val="128"/>
      </rPr>
      <t>花子</t>
    </r>
  </si>
  <si>
    <t>sato.hanako@example.com</t>
  </si>
  <si>
    <r>
      <t>鈴木</t>
    </r>
    <r>
      <rPr>
        <sz val="11"/>
        <color rgb="FF000000"/>
        <rFont val="Calibri"/>
        <family val="2"/>
      </rPr>
      <t xml:space="preserve"> </t>
    </r>
    <r>
      <rPr>
        <sz val="11"/>
        <color rgb="FF000000"/>
        <rFont val="ＭＳ Ｐゴシック"/>
        <family val="3"/>
        <charset val="128"/>
      </rPr>
      <t>一郎</t>
    </r>
  </si>
  <si>
    <t>suzuki.ichiro@example.com</t>
  </si>
  <si>
    <r>
      <t>高橋</t>
    </r>
    <r>
      <rPr>
        <sz val="11"/>
        <color rgb="FF000000"/>
        <rFont val="Calibri"/>
        <family val="2"/>
      </rPr>
      <t xml:space="preserve"> </t>
    </r>
    <r>
      <rPr>
        <sz val="11"/>
        <color rgb="FF000000"/>
        <rFont val="ＭＳ Ｐゴシック"/>
        <family val="3"/>
        <charset val="128"/>
      </rPr>
      <t>美咲</t>
    </r>
  </si>
  <si>
    <t>takahashi.misaki@example.com</t>
  </si>
  <si>
    <r>
      <t>田中</t>
    </r>
    <r>
      <rPr>
        <sz val="11"/>
        <color rgb="FF000000"/>
        <rFont val="Calibri"/>
        <family val="2"/>
      </rPr>
      <t xml:space="preserve"> </t>
    </r>
    <r>
      <rPr>
        <sz val="11"/>
        <color rgb="FF000000"/>
        <rFont val="ＭＳ Ｐゴシック"/>
        <family val="3"/>
        <charset val="128"/>
      </rPr>
      <t>健太</t>
    </r>
  </si>
  <si>
    <t>tanaka.kenta@example.com</t>
  </si>
  <si>
    <r>
      <t>伊藤</t>
    </r>
    <r>
      <rPr>
        <sz val="11"/>
        <color rgb="FF000000"/>
        <rFont val="Calibri"/>
        <family val="2"/>
      </rPr>
      <t xml:space="preserve"> </t>
    </r>
    <r>
      <rPr>
        <sz val="11"/>
        <color rgb="FF000000"/>
        <rFont val="ＭＳ Ｐゴシック"/>
        <family val="3"/>
        <charset val="128"/>
      </rPr>
      <t>玲子</t>
    </r>
  </si>
  <si>
    <t>ito.reiko@example.com</t>
  </si>
  <si>
    <r>
      <t>渡辺</t>
    </r>
    <r>
      <rPr>
        <sz val="11"/>
        <color rgb="FF000000"/>
        <rFont val="Calibri"/>
        <family val="2"/>
      </rPr>
      <t xml:space="preserve"> </t>
    </r>
    <r>
      <rPr>
        <sz val="11"/>
        <color rgb="FF000000"/>
        <rFont val="ＭＳ Ｐゴシック"/>
        <family val="3"/>
        <charset val="128"/>
      </rPr>
      <t>翔太</t>
    </r>
  </si>
  <si>
    <t>watanabe.shota@example.com</t>
  </si>
  <si>
    <r>
      <t>中村</t>
    </r>
    <r>
      <rPr>
        <sz val="11"/>
        <color rgb="FF000000"/>
        <rFont val="Calibri"/>
        <family val="2"/>
      </rPr>
      <t xml:space="preserve"> </t>
    </r>
    <r>
      <rPr>
        <sz val="11"/>
        <color rgb="FF000000"/>
        <rFont val="ＭＳ Ｐゴシック"/>
        <family val="3"/>
        <charset val="128"/>
      </rPr>
      <t>真由</t>
    </r>
  </si>
  <si>
    <t>nakamura.mayu@example.com</t>
  </si>
  <si>
    <r>
      <t>小林</t>
    </r>
    <r>
      <rPr>
        <sz val="11"/>
        <color rgb="FF000000"/>
        <rFont val="Calibri"/>
        <family val="2"/>
      </rPr>
      <t xml:space="preserve"> </t>
    </r>
    <r>
      <rPr>
        <sz val="11"/>
        <color rgb="FF000000"/>
        <rFont val="ＭＳ Ｐゴシック"/>
        <family val="3"/>
        <charset val="128"/>
      </rPr>
      <t>大輔</t>
    </r>
  </si>
  <si>
    <t>kobayashi.daisuke@example.com</t>
  </si>
  <si>
    <r>
      <t>加藤</t>
    </r>
    <r>
      <rPr>
        <sz val="11"/>
        <color rgb="FF000000"/>
        <rFont val="Calibri"/>
        <family val="2"/>
      </rPr>
      <t xml:space="preserve"> </t>
    </r>
    <r>
      <rPr>
        <sz val="11"/>
        <color rgb="FF000000"/>
        <rFont val="ＭＳ Ｐゴシック"/>
        <family val="3"/>
        <charset val="128"/>
      </rPr>
      <t>由香</t>
    </r>
  </si>
  <si>
    <t>kato.yuka@example.com</t>
  </si>
  <si>
    <r>
      <t>吉田</t>
    </r>
    <r>
      <rPr>
        <sz val="11"/>
        <color rgb="FF000000"/>
        <rFont val="Calibri"/>
        <family val="2"/>
      </rPr>
      <t xml:space="preserve"> </t>
    </r>
    <r>
      <rPr>
        <sz val="11"/>
        <color rgb="FF000000"/>
        <rFont val="ＭＳ Ｐゴシック"/>
        <family val="3"/>
        <charset val="128"/>
      </rPr>
      <t>智也</t>
    </r>
  </si>
  <si>
    <t>yoshida.tomoya@example.com</t>
  </si>
  <si>
    <r>
      <t>山本</t>
    </r>
    <r>
      <rPr>
        <sz val="11"/>
        <color rgb="FF000000"/>
        <rFont val="Calibri"/>
        <family val="2"/>
      </rPr>
      <t xml:space="preserve"> </t>
    </r>
    <r>
      <rPr>
        <sz val="11"/>
        <color rgb="FF000000"/>
        <rFont val="ＭＳ Ｐゴシック"/>
        <family val="3"/>
        <charset val="128"/>
      </rPr>
      <t>彩香</t>
    </r>
  </si>
  <si>
    <t>yamamoto.ayaka@example.com</t>
  </si>
  <si>
    <r>
      <t>井上</t>
    </r>
    <r>
      <rPr>
        <sz val="11"/>
        <color rgb="FF000000"/>
        <rFont val="Calibri"/>
        <family val="2"/>
      </rPr>
      <t xml:space="preserve"> </t>
    </r>
    <r>
      <rPr>
        <sz val="11"/>
        <color rgb="FF000000"/>
        <rFont val="ＭＳ Ｐゴシック"/>
        <family val="3"/>
        <charset val="128"/>
      </rPr>
      <t>拓也</t>
    </r>
  </si>
  <si>
    <t>inoue.takuya@example.com</t>
  </si>
  <si>
    <r>
      <t>松本</t>
    </r>
    <r>
      <rPr>
        <sz val="11"/>
        <color rgb="FF000000"/>
        <rFont val="Calibri"/>
        <family val="2"/>
      </rPr>
      <t xml:space="preserve"> </t>
    </r>
    <r>
      <rPr>
        <sz val="11"/>
        <color rgb="FF000000"/>
        <rFont val="ＭＳ Ｐゴシック"/>
        <family val="3"/>
        <charset val="128"/>
      </rPr>
      <t>結衣</t>
    </r>
  </si>
  <si>
    <t>matsumoto.yui@example.com</t>
  </si>
  <si>
    <r>
      <t>林</t>
    </r>
    <r>
      <rPr>
        <sz val="11"/>
        <color rgb="FF000000"/>
        <rFont val="Calibri"/>
        <family val="2"/>
      </rPr>
      <t xml:space="preserve"> </t>
    </r>
    <r>
      <rPr>
        <sz val="11"/>
        <color rgb="FF000000"/>
        <rFont val="ＭＳ Ｐゴシック"/>
        <family val="3"/>
        <charset val="128"/>
      </rPr>
      <t>直樹</t>
    </r>
  </si>
  <si>
    <t>hayashi.naoki@example.com</t>
  </si>
  <si>
    <r>
      <t>清水</t>
    </r>
    <r>
      <rPr>
        <sz val="11"/>
        <color rgb="FF000000"/>
        <rFont val="Calibri"/>
        <family val="2"/>
      </rPr>
      <t xml:space="preserve"> </t>
    </r>
    <r>
      <rPr>
        <sz val="11"/>
        <color rgb="FF000000"/>
        <rFont val="ＭＳ Ｐゴシック"/>
        <family val="3"/>
        <charset val="128"/>
      </rPr>
      <t>美穂</t>
    </r>
  </si>
  <si>
    <t>shimizu.miho@example.com</t>
  </si>
  <si>
    <r>
      <t>斎藤</t>
    </r>
    <r>
      <rPr>
        <sz val="11"/>
        <color rgb="FF000000"/>
        <rFont val="Calibri"/>
        <family val="2"/>
      </rPr>
      <t xml:space="preserve"> </t>
    </r>
    <r>
      <rPr>
        <sz val="11"/>
        <color rgb="FF000000"/>
        <rFont val="ＭＳ Ｐゴシック"/>
        <family val="3"/>
        <charset val="128"/>
      </rPr>
      <t>亮</t>
    </r>
  </si>
  <si>
    <t>saito.ryo@example.com</t>
  </si>
  <si>
    <r>
      <t>山口</t>
    </r>
    <r>
      <rPr>
        <sz val="11"/>
        <color rgb="FF000000"/>
        <rFont val="Calibri"/>
        <family val="2"/>
      </rPr>
      <t xml:space="preserve"> </t>
    </r>
    <r>
      <rPr>
        <sz val="11"/>
        <color rgb="FF000000"/>
        <rFont val="ＭＳ Ｐゴシック"/>
        <family val="3"/>
        <charset val="128"/>
      </rPr>
      <t>彩乃</t>
    </r>
  </si>
  <si>
    <t>yamaguchi.ayano@example.com</t>
  </si>
  <si>
    <r>
      <t>石井</t>
    </r>
    <r>
      <rPr>
        <sz val="11"/>
        <color rgb="FF000000"/>
        <rFont val="Calibri"/>
        <family val="2"/>
      </rPr>
      <t xml:space="preserve"> </t>
    </r>
    <r>
      <rPr>
        <sz val="11"/>
        <color rgb="FF000000"/>
        <rFont val="ＭＳ Ｐゴシック"/>
        <family val="3"/>
        <charset val="128"/>
      </rPr>
      <t>翔</t>
    </r>
  </si>
  <si>
    <t>ishii.sho@example.com</t>
  </si>
  <si>
    <r>
      <t>森田</t>
    </r>
    <r>
      <rPr>
        <sz val="11"/>
        <color rgb="FF000000"/>
        <rFont val="Calibri"/>
        <family val="2"/>
      </rPr>
      <t xml:space="preserve"> </t>
    </r>
    <r>
      <rPr>
        <sz val="11"/>
        <color rgb="FF000000"/>
        <rFont val="ＭＳ Ｐゴシック"/>
        <family val="3"/>
        <charset val="128"/>
      </rPr>
      <t>菜々</t>
    </r>
  </si>
  <si>
    <t>morita.nana@example.com</t>
  </si>
  <si>
    <r>
      <t>池田</t>
    </r>
    <r>
      <rPr>
        <sz val="11"/>
        <color rgb="FF000000"/>
        <rFont val="Calibri"/>
        <family val="2"/>
      </rPr>
      <t xml:space="preserve"> </t>
    </r>
    <r>
      <rPr>
        <sz val="11"/>
        <color rgb="FF000000"/>
        <rFont val="ＭＳ Ｐゴシック"/>
        <family val="3"/>
        <charset val="128"/>
      </rPr>
      <t>陽介</t>
    </r>
  </si>
  <si>
    <t>ikeda.yosuke@example.com</t>
  </si>
  <si>
    <r>
      <t>橋本</t>
    </r>
    <r>
      <rPr>
        <sz val="11"/>
        <color rgb="FF000000"/>
        <rFont val="Calibri"/>
        <family val="2"/>
      </rPr>
      <t xml:space="preserve"> </t>
    </r>
    <r>
      <rPr>
        <sz val="11"/>
        <color rgb="FF000000"/>
        <rFont val="ＭＳ Ｐゴシック"/>
        <family val="3"/>
        <charset val="128"/>
      </rPr>
      <t>さくら</t>
    </r>
  </si>
  <si>
    <t>hashimoto.sakura@example.com</t>
  </si>
  <si>
    <r>
      <t>阿部</t>
    </r>
    <r>
      <rPr>
        <sz val="11"/>
        <color rgb="FF000000"/>
        <rFont val="Calibri"/>
        <family val="2"/>
      </rPr>
      <t xml:space="preserve"> </t>
    </r>
    <r>
      <rPr>
        <sz val="11"/>
        <color rgb="FF000000"/>
        <rFont val="ＭＳ Ｐゴシック"/>
        <family val="3"/>
        <charset val="128"/>
      </rPr>
      <t>俊介</t>
    </r>
  </si>
  <si>
    <t>abe.shunsuke@example.com</t>
  </si>
  <si>
    <r>
      <t>山下</t>
    </r>
    <r>
      <rPr>
        <sz val="11"/>
        <color rgb="FF000000"/>
        <rFont val="Calibri"/>
        <family val="2"/>
      </rPr>
      <t xml:space="preserve"> </t>
    </r>
    <r>
      <rPr>
        <sz val="11"/>
        <color rgb="FF000000"/>
        <rFont val="ＭＳ Ｐゴシック"/>
        <family val="3"/>
        <charset val="128"/>
      </rPr>
      <t>優子</t>
    </r>
  </si>
  <si>
    <t>yamashita.yuko@example.com</t>
  </si>
  <si>
    <r>
      <t>森</t>
    </r>
    <r>
      <rPr>
        <sz val="11"/>
        <color rgb="FF000000"/>
        <rFont val="Calibri"/>
        <family val="2"/>
      </rPr>
      <t xml:space="preserve"> </t>
    </r>
    <r>
      <rPr>
        <sz val="11"/>
        <color rgb="FF000000"/>
        <rFont val="ＭＳ Ｐゴシック"/>
        <family val="3"/>
        <charset val="128"/>
      </rPr>
      <t>翔太</t>
    </r>
  </si>
  <si>
    <t>mori.shota@example.com</t>
  </si>
  <si>
    <r>
      <t>石川</t>
    </r>
    <r>
      <rPr>
        <sz val="11"/>
        <color rgb="FF000000"/>
        <rFont val="Calibri"/>
        <family val="2"/>
      </rPr>
      <t xml:space="preserve"> </t>
    </r>
    <r>
      <rPr>
        <sz val="11"/>
        <color rgb="FF000000"/>
        <rFont val="ＭＳ Ｐゴシック"/>
        <family val="3"/>
        <charset val="128"/>
      </rPr>
      <t>真央</t>
    </r>
  </si>
  <si>
    <t>ishikawa.mao@example.com</t>
  </si>
  <si>
    <r>
      <t>木村</t>
    </r>
    <r>
      <rPr>
        <sz val="11"/>
        <color rgb="FF000000"/>
        <rFont val="Calibri"/>
        <family val="2"/>
      </rPr>
      <t xml:space="preserve"> </t>
    </r>
    <r>
      <rPr>
        <sz val="11"/>
        <color rgb="FF000000"/>
        <rFont val="ＭＳ Ｐゴシック"/>
        <family val="3"/>
        <charset val="128"/>
      </rPr>
      <t>海斗</t>
    </r>
  </si>
  <si>
    <t>kimura.kaito@example.com</t>
  </si>
  <si>
    <r>
      <t>松田</t>
    </r>
    <r>
      <rPr>
        <sz val="11"/>
        <color rgb="FF000000"/>
        <rFont val="Calibri"/>
        <family val="2"/>
      </rPr>
      <t xml:space="preserve"> </t>
    </r>
    <r>
      <rPr>
        <sz val="11"/>
        <color rgb="FF000000"/>
        <rFont val="ＭＳ Ｐゴシック"/>
        <family val="3"/>
        <charset val="128"/>
      </rPr>
      <t>千尋</t>
    </r>
  </si>
  <si>
    <t>matsuda.chihiro@example.com</t>
  </si>
  <si>
    <r>
      <t>中川</t>
    </r>
    <r>
      <rPr>
        <sz val="11"/>
        <color rgb="FF000000"/>
        <rFont val="Calibri"/>
        <family val="2"/>
      </rPr>
      <t xml:space="preserve"> </t>
    </r>
    <r>
      <rPr>
        <sz val="11"/>
        <color rgb="FF000000"/>
        <rFont val="ＭＳ Ｐゴシック"/>
        <family val="3"/>
        <charset val="128"/>
      </rPr>
      <t>涼</t>
    </r>
  </si>
  <si>
    <t>nakagawa.ryo@example.com</t>
  </si>
  <si>
    <r>
      <t>藤田</t>
    </r>
    <r>
      <rPr>
        <sz val="11"/>
        <color rgb="FF000000"/>
        <rFont val="Calibri"/>
        <family val="2"/>
      </rPr>
      <t xml:space="preserve"> </t>
    </r>
    <r>
      <rPr>
        <sz val="11"/>
        <color rgb="FF000000"/>
        <rFont val="ＭＳ Ｐゴシック"/>
        <family val="3"/>
        <charset val="128"/>
      </rPr>
      <t>彩</t>
    </r>
  </si>
  <si>
    <t>fujita.aya@example.com</t>
  </si>
  <si>
    <r>
      <t>小野</t>
    </r>
    <r>
      <rPr>
        <sz val="11"/>
        <color rgb="FF000000"/>
        <rFont val="Calibri"/>
        <family val="2"/>
      </rPr>
      <t xml:space="preserve"> </t>
    </r>
    <r>
      <rPr>
        <sz val="11"/>
        <color rgb="FF000000"/>
        <rFont val="ＭＳ Ｐゴシック"/>
        <family val="3"/>
        <charset val="128"/>
      </rPr>
      <t>大輝</t>
    </r>
  </si>
  <si>
    <t>ono.daiki@example.com</t>
  </si>
  <si>
    <r>
      <t>岡田</t>
    </r>
    <r>
      <rPr>
        <sz val="11"/>
        <color rgb="FF000000"/>
        <rFont val="Calibri"/>
        <family val="2"/>
      </rPr>
      <t xml:space="preserve"> </t>
    </r>
    <r>
      <rPr>
        <sz val="11"/>
        <color rgb="FF000000"/>
        <rFont val="ＭＳ Ｐゴシック"/>
        <family val="3"/>
        <charset val="128"/>
      </rPr>
      <t>朋美</t>
    </r>
  </si>
  <si>
    <t>okada.tomomi@example.com</t>
  </si>
  <si>
    <r>
      <t>原田</t>
    </r>
    <r>
      <rPr>
        <sz val="11"/>
        <color rgb="FF000000"/>
        <rFont val="Calibri"/>
        <family val="2"/>
      </rPr>
      <t xml:space="preserve"> </t>
    </r>
    <r>
      <rPr>
        <sz val="11"/>
        <color rgb="FF000000"/>
        <rFont val="ＭＳ Ｐゴシック"/>
        <family val="3"/>
        <charset val="128"/>
      </rPr>
      <t>悠</t>
    </r>
  </si>
  <si>
    <t>harada.yu@example.com</t>
  </si>
  <si>
    <r>
      <t>青木</t>
    </r>
    <r>
      <rPr>
        <sz val="11"/>
        <color rgb="FF000000"/>
        <rFont val="Calibri"/>
        <family val="2"/>
      </rPr>
      <t xml:space="preserve"> </t>
    </r>
    <r>
      <rPr>
        <sz val="11"/>
        <color rgb="FF000000"/>
        <rFont val="ＭＳ Ｐゴシック"/>
        <family val="3"/>
        <charset val="128"/>
      </rPr>
      <t>紗英</t>
    </r>
  </si>
  <si>
    <t>aoki.sae@example.com</t>
  </si>
  <si>
    <r>
      <t>長谷川</t>
    </r>
    <r>
      <rPr>
        <sz val="11"/>
        <color rgb="FF000000"/>
        <rFont val="Calibri"/>
        <family val="2"/>
      </rPr>
      <t xml:space="preserve"> </t>
    </r>
    <r>
      <rPr>
        <sz val="11"/>
        <color rgb="FF000000"/>
        <rFont val="ＭＳ Ｐゴシック"/>
        <family val="3"/>
        <charset val="128"/>
      </rPr>
      <t>直人</t>
    </r>
  </si>
  <si>
    <t>hasegawa.naoto@example.com</t>
  </si>
  <si>
    <r>
      <t>近藤</t>
    </r>
    <r>
      <rPr>
        <sz val="11"/>
        <color rgb="FF000000"/>
        <rFont val="Calibri"/>
        <family val="2"/>
      </rPr>
      <t xml:space="preserve"> </t>
    </r>
    <r>
      <rPr>
        <sz val="11"/>
        <color rgb="FF000000"/>
        <rFont val="ＭＳ Ｐゴシック"/>
        <family val="3"/>
        <charset val="128"/>
      </rPr>
      <t>優衣</t>
    </r>
  </si>
  <si>
    <t>kondo.yui@example.com</t>
  </si>
  <si>
    <r>
      <t>村上</t>
    </r>
    <r>
      <rPr>
        <sz val="11"/>
        <color rgb="FF000000"/>
        <rFont val="Calibri"/>
        <family val="2"/>
      </rPr>
      <t xml:space="preserve"> </t>
    </r>
    <r>
      <rPr>
        <sz val="11"/>
        <color rgb="FF000000"/>
        <rFont val="ＭＳ Ｐゴシック"/>
        <family val="3"/>
        <charset val="128"/>
      </rPr>
      <t>剛</t>
    </r>
  </si>
  <si>
    <t>murakami.tsuyoshi@example.com</t>
  </si>
  <si>
    <r>
      <t>高木</t>
    </r>
    <r>
      <rPr>
        <sz val="11"/>
        <color rgb="FF000000"/>
        <rFont val="Calibri"/>
        <family val="2"/>
      </rPr>
      <t xml:space="preserve"> </t>
    </r>
    <r>
      <rPr>
        <sz val="11"/>
        <color rgb="FF000000"/>
        <rFont val="ＭＳ Ｐゴシック"/>
        <family val="3"/>
        <charset val="128"/>
      </rPr>
      <t>真奈</t>
    </r>
  </si>
  <si>
    <t>takagi.mana@example.com</t>
  </si>
  <si>
    <r>
      <t>岩田</t>
    </r>
    <r>
      <rPr>
        <sz val="11"/>
        <color rgb="FF000000"/>
        <rFont val="Calibri"/>
        <family val="2"/>
      </rPr>
      <t xml:space="preserve"> </t>
    </r>
    <r>
      <rPr>
        <sz val="11"/>
        <color rgb="FF000000"/>
        <rFont val="ＭＳ Ｐゴシック"/>
        <family val="3"/>
        <charset val="128"/>
      </rPr>
      <t>慎一</t>
    </r>
  </si>
  <si>
    <t>iwata.shinichi@example.com</t>
  </si>
  <si>
    <r>
      <t>石原</t>
    </r>
    <r>
      <rPr>
        <sz val="11"/>
        <color rgb="FF000000"/>
        <rFont val="Calibri"/>
        <family val="2"/>
      </rPr>
      <t xml:space="preserve"> </t>
    </r>
    <r>
      <rPr>
        <sz val="11"/>
        <color rgb="FF000000"/>
        <rFont val="ＭＳ Ｐゴシック"/>
        <family val="3"/>
        <charset val="128"/>
      </rPr>
      <t>美月</t>
    </r>
  </si>
  <si>
    <t>ishihara.mizuki@example.com</t>
  </si>
  <si>
    <r>
      <t>福田</t>
    </r>
    <r>
      <rPr>
        <sz val="11"/>
        <color rgb="FF000000"/>
        <rFont val="Calibri"/>
        <family val="2"/>
      </rPr>
      <t xml:space="preserve"> </t>
    </r>
    <r>
      <rPr>
        <sz val="11"/>
        <color rgb="FF000000"/>
        <rFont val="ＭＳ Ｐゴシック"/>
        <family val="3"/>
        <charset val="128"/>
      </rPr>
      <t>拓海</t>
    </r>
  </si>
  <si>
    <t>fukuda.takumi@example.com</t>
  </si>
  <si>
    <r>
      <t>西村</t>
    </r>
    <r>
      <rPr>
        <sz val="11"/>
        <color rgb="FF000000"/>
        <rFont val="Calibri"/>
        <family val="2"/>
      </rPr>
      <t xml:space="preserve"> </t>
    </r>
    <r>
      <rPr>
        <sz val="11"/>
        <color rgb="FF000000"/>
        <rFont val="ＭＳ Ｐゴシック"/>
        <family val="3"/>
        <charset val="128"/>
      </rPr>
      <t>萌</t>
    </r>
  </si>
  <si>
    <t>nishimura.moe@example.com</t>
  </si>
  <si>
    <r>
      <t>坂本</t>
    </r>
    <r>
      <rPr>
        <sz val="11"/>
        <color rgb="FF000000"/>
        <rFont val="Calibri"/>
        <family val="2"/>
      </rPr>
      <t xml:space="preserve"> </t>
    </r>
    <r>
      <rPr>
        <sz val="11"/>
        <color rgb="FF000000"/>
        <rFont val="ＭＳ Ｐゴシック"/>
        <family val="3"/>
        <charset val="128"/>
      </rPr>
      <t>大地</t>
    </r>
  </si>
  <si>
    <t>sakamoto.daichi@example.com</t>
  </si>
  <si>
    <r>
      <t>中島</t>
    </r>
    <r>
      <rPr>
        <sz val="11"/>
        <color rgb="FF000000"/>
        <rFont val="Calibri"/>
        <family val="2"/>
      </rPr>
      <t xml:space="preserve"> </t>
    </r>
    <r>
      <rPr>
        <sz val="11"/>
        <color rgb="FF000000"/>
        <rFont val="ＭＳ Ｐゴシック"/>
        <family val="3"/>
        <charset val="128"/>
      </rPr>
      <t>愛</t>
    </r>
  </si>
  <si>
    <t>nakajima.ai@example.com</t>
  </si>
  <si>
    <r>
      <t>平野</t>
    </r>
    <r>
      <rPr>
        <sz val="11"/>
        <color rgb="FF000000"/>
        <rFont val="Calibri"/>
        <family val="2"/>
      </rPr>
      <t xml:space="preserve"> </t>
    </r>
    <r>
      <rPr>
        <sz val="11"/>
        <color rgb="FF000000"/>
        <rFont val="ＭＳ Ｐゴシック"/>
        <family val="3"/>
        <charset val="128"/>
      </rPr>
      <t>啓介</t>
    </r>
  </si>
  <si>
    <t>hirano.keisuke@example.com</t>
  </si>
  <si>
    <r>
      <t>大野</t>
    </r>
    <r>
      <rPr>
        <sz val="11"/>
        <color rgb="FF000000"/>
        <rFont val="Calibri"/>
        <family val="2"/>
      </rPr>
      <t xml:space="preserve"> </t>
    </r>
    <r>
      <rPr>
        <sz val="11"/>
        <color rgb="FF000000"/>
        <rFont val="ＭＳ Ｐゴシック"/>
        <family val="3"/>
        <charset val="128"/>
      </rPr>
      <t>恵理</t>
    </r>
  </si>
  <si>
    <t>ono.eri@example.com</t>
  </si>
  <si>
    <r>
      <t>上田</t>
    </r>
    <r>
      <rPr>
        <sz val="11"/>
        <color rgb="FF000000"/>
        <rFont val="Calibri"/>
        <family val="2"/>
      </rPr>
      <t xml:space="preserve"> </t>
    </r>
    <r>
      <rPr>
        <sz val="11"/>
        <color rgb="FF000000"/>
        <rFont val="ＭＳ Ｐゴシック"/>
        <family val="3"/>
        <charset val="128"/>
      </rPr>
      <t>悠人</t>
    </r>
  </si>
  <si>
    <t>ueda.yuto@example.com</t>
  </si>
  <si>
    <r>
      <t>柴田</t>
    </r>
    <r>
      <rPr>
        <sz val="11"/>
        <color rgb="FF000000"/>
        <rFont val="Calibri"/>
        <family val="2"/>
      </rPr>
      <t xml:space="preserve"> </t>
    </r>
    <r>
      <rPr>
        <sz val="11"/>
        <color rgb="FF000000"/>
        <rFont val="ＭＳ Ｐゴシック"/>
        <family val="3"/>
        <charset val="128"/>
      </rPr>
      <t>知美</t>
    </r>
  </si>
  <si>
    <t>shibata.tomomi@example.com</t>
  </si>
  <si>
    <r>
      <t>宮崎</t>
    </r>
    <r>
      <rPr>
        <sz val="11"/>
        <color rgb="FF000000"/>
        <rFont val="Calibri"/>
        <family val="2"/>
      </rPr>
      <t xml:space="preserve"> </t>
    </r>
    <r>
      <rPr>
        <sz val="11"/>
        <color rgb="FF000000"/>
        <rFont val="ＭＳ Ｐゴシック"/>
        <family val="3"/>
        <charset val="128"/>
      </rPr>
      <t>健吾</t>
    </r>
  </si>
  <si>
    <t>miyazaki.kengo@example.com</t>
  </si>
  <si>
    <r>
      <t>本田</t>
    </r>
    <r>
      <rPr>
        <sz val="11"/>
        <color rgb="FF000000"/>
        <rFont val="Calibri"/>
        <family val="2"/>
      </rPr>
      <t xml:space="preserve"> </t>
    </r>
    <r>
      <rPr>
        <sz val="11"/>
        <color rgb="FF000000"/>
        <rFont val="ＭＳ Ｐゴシック"/>
        <family val="3"/>
        <charset val="128"/>
      </rPr>
      <t>遥</t>
    </r>
  </si>
  <si>
    <t>honda.haruka@example.com</t>
  </si>
  <si>
    <r>
      <t>島田</t>
    </r>
    <r>
      <rPr>
        <sz val="11"/>
        <color rgb="FF000000"/>
        <rFont val="Calibri"/>
        <family val="2"/>
      </rPr>
      <t xml:space="preserve"> </t>
    </r>
    <r>
      <rPr>
        <sz val="11"/>
        <color rgb="FF000000"/>
        <rFont val="ＭＳ Ｐゴシック"/>
        <family val="3"/>
        <charset val="128"/>
      </rPr>
      <t>陸</t>
    </r>
  </si>
  <si>
    <t>shimada.riku@example.com</t>
  </si>
  <si>
    <r>
      <t>森下</t>
    </r>
    <r>
      <rPr>
        <sz val="11"/>
        <color rgb="FF000000"/>
        <rFont val="Calibri"/>
        <family val="2"/>
      </rPr>
      <t xml:space="preserve"> </t>
    </r>
    <r>
      <rPr>
        <sz val="11"/>
        <color rgb="FF000000"/>
        <rFont val="ＭＳ Ｐゴシック"/>
        <family val="3"/>
        <charset val="128"/>
      </rPr>
      <t>美咲</t>
    </r>
  </si>
  <si>
    <t>morishita.misaki@example.com</t>
  </si>
  <si>
    <r>
      <t>和田</t>
    </r>
    <r>
      <rPr>
        <sz val="11"/>
        <color rgb="FF000000"/>
        <rFont val="Calibri"/>
        <family val="2"/>
      </rPr>
      <t xml:space="preserve"> </t>
    </r>
    <r>
      <rPr>
        <sz val="11"/>
        <color rgb="FF000000"/>
        <rFont val="ＭＳ Ｐゴシック"/>
        <family val="3"/>
        <charset val="128"/>
      </rPr>
      <t>隼人</t>
    </r>
  </si>
  <si>
    <t>wada.hayato@example.com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</si>
</sst>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Calibri"/>
      <family val="2"/>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b/>
      <sz val="11"/>
      <color theme="1"/>
      <name val="Calibri"/>
      <family val="3"/>
      <charset val="128"/>
      <scheme val="minor"/>
    </font>
    <font>
      <sz val="6"/>
      <name val="Calibri"/>
      <family val="3"/>
      <charset val="128"/>
      <scheme val="minor"/>
    </font>
    <font>
      <sz val="11"/>
      <color rgb="FF000000"/>
      <name val="Calibri"/>
      <family val="3"/>
      <charset val="128"/>
      <scheme val="minor"/>
    </font>
    <font>
      <b/>
      <sz val="11"/>
      <color rgb="FF000000"/>
      <name val="Calibri"/>
      <family val="3"/>
      <charset val="128"/>
      <scheme val="minor"/>
    </font>
    <font>
      <b/>
      <sz val="11"/>
      <color theme="1"/>
      <name val="Calibri"/>
      <family val="2"/>
      <scheme val="minor"/>
    </font>
    <font>
      <sz val="6"/>
      <name val="Calibri"/>
      <family val="2"/>
      <charset val="128"/>
      <scheme val="minor"/>
    </font>
    <font>
      <b/>
      <sz val="11"/>
      <color rgb="FFFFFFFF"/>
      <name val="Calibri"/>
      <family val="2"/>
    </font>
    <font>
      <sz val="11"/>
      <color rgb="FF000000"/>
      <name val="Calibri"/>
      <family val="2"/>
    </font>
    <font>
      <sz val="11"/>
      <color rgb="FF000000"/>
      <name val="ＭＳ ゴシック"/>
      <family val="3"/>
      <charset val="128"/>
    </font>
    <font>
      <sz val="11"/>
      <color rgb="FF000000"/>
      <name val="ＭＳ Ｐゴシック"/>
      <family val="3"/>
      <charset val="128"/>
    </font>
  </fonts>
  <fills count="16">
    <fill>
      <patternFill patternType="none"/>
    </fill>
    <fill>
      <patternFill patternType="gray125"/>
    </fill>
    <fill>
      <patternFill patternType="solid">
        <fgColor theme="5" tint="0.79998168889431442"/>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rgb="FFFCE4D6"/>
        <bgColor rgb="FF000000"/>
      </patternFill>
    </fill>
    <fill>
      <patternFill patternType="solid">
        <fgColor rgb="FFFFF2CC"/>
        <bgColor rgb="FF000000"/>
      </patternFill>
    </fill>
    <fill>
      <patternFill patternType="solid">
        <fgColor rgb="FFD6DCE4"/>
        <bgColor rgb="FF000000"/>
      </patternFill>
    </fill>
    <fill>
      <patternFill patternType="solid">
        <fgColor rgb="FFE2EFDA"/>
        <bgColor rgb="FF000000"/>
      </patternFill>
    </fill>
    <fill>
      <patternFill patternType="solid">
        <fgColor rgb="FFDDEBF7"/>
        <bgColor rgb="FF000000"/>
      </patternFill>
    </fill>
    <fill>
      <patternFill patternType="solid">
        <fgColor rgb="FFD0CECE"/>
        <bgColor rgb="FF000000"/>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D9E1F2"/>
        <bgColor rgb="FF000000"/>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theme="4" tint="0.3999755851924192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000000"/>
      </left>
      <right/>
      <top style="thin">
        <color rgb="FF000000"/>
      </top>
      <bottom/>
      <diagonal/>
    </border>
    <border>
      <left style="thin">
        <color indexed="64"/>
      </left>
      <right style="thin">
        <color rgb="FF000000"/>
      </right>
      <top style="thin">
        <color indexed="64"/>
      </top>
      <bottom style="thin">
        <color rgb="FF000000"/>
      </bottom>
      <diagonal/>
    </border>
    <border>
      <left style="thin">
        <color rgb="FF000000"/>
      </left>
      <right/>
      <top style="thin">
        <color indexed="64"/>
      </top>
      <bottom/>
      <diagonal/>
    </border>
    <border>
      <left style="thin">
        <color indexed="64"/>
      </left>
      <right/>
      <top style="thin">
        <color rgb="FF000000"/>
      </top>
      <bottom/>
      <diagonal/>
    </border>
    <border>
      <left style="thin">
        <color indexed="64"/>
      </left>
      <right style="thin">
        <color rgb="FF000000"/>
      </right>
      <top style="thin">
        <color rgb="FF000000"/>
      </top>
      <bottom/>
      <diagonal/>
    </border>
    <border>
      <left style="thin">
        <color indexed="64"/>
      </left>
      <right style="thin">
        <color rgb="FF000000"/>
      </right>
      <top style="thin">
        <color indexed="64"/>
      </top>
      <bottom/>
      <diagonal/>
    </border>
    <border>
      <left style="thin">
        <color rgb="FF000000"/>
      </left>
      <right/>
      <top style="thin">
        <color indexed="64"/>
      </top>
      <bottom style="thin">
        <color rgb="FF000000"/>
      </bottom>
      <diagonal/>
    </border>
    <border>
      <left style="thin">
        <color indexed="64"/>
      </left>
      <right/>
      <top style="thin">
        <color indexed="64"/>
      </top>
      <bottom style="thin">
        <color rgb="FF000000"/>
      </bottom>
      <diagonal/>
    </border>
    <border>
      <left style="thin">
        <color theme="0"/>
      </left>
      <right/>
      <top style="thin">
        <color theme="4" tint="0.39997558519241921"/>
      </top>
      <bottom/>
      <diagonal/>
    </border>
    <border>
      <left style="thin">
        <color theme="0"/>
      </left>
      <right/>
      <top/>
      <bottom/>
      <diagonal/>
    </border>
  </borders>
  <cellStyleXfs count="5">
    <xf numFmtId="0" fontId="0" fillId="0" borderId="0"/>
    <xf numFmtId="0" fontId="3" fillId="0" borderId="0">
      <alignment vertical="center"/>
    </xf>
    <xf numFmtId="0" fontId="3" fillId="0" borderId="0">
      <alignment vertical="center"/>
    </xf>
    <xf numFmtId="0" fontId="2" fillId="0" borderId="0">
      <alignment vertical="center"/>
    </xf>
    <xf numFmtId="0" fontId="1" fillId="0" borderId="0">
      <alignment vertical="center"/>
    </xf>
  </cellStyleXfs>
  <cellXfs count="67">
    <xf numFmtId="0" fontId="0" fillId="0" borderId="0" xfId="0"/>
    <xf numFmtId="0" fontId="0" fillId="0" borderId="1" xfId="0" applyBorder="1"/>
    <xf numFmtId="0" fontId="6" fillId="0" borderId="1" xfId="0" applyFont="1" applyBorder="1" applyAlignment="1">
      <alignment vertical="center"/>
    </xf>
    <xf numFmtId="0" fontId="6" fillId="0" borderId="1" xfId="0" applyFont="1" applyBorder="1" applyAlignment="1">
      <alignment horizontal="center" vertical="center"/>
    </xf>
    <xf numFmtId="0" fontId="6" fillId="5" borderId="1" xfId="0" applyFont="1" applyFill="1" applyBorder="1" applyAlignment="1">
      <alignment vertical="center"/>
    </xf>
    <xf numFmtId="0" fontId="6" fillId="6" borderId="1" xfId="0" applyFont="1" applyFill="1" applyBorder="1" applyAlignment="1">
      <alignment vertical="center"/>
    </xf>
    <xf numFmtId="0" fontId="6" fillId="7" borderId="1" xfId="0" applyFont="1" applyFill="1" applyBorder="1" applyAlignment="1">
      <alignment vertical="center"/>
    </xf>
    <xf numFmtId="0" fontId="6" fillId="8" borderId="1" xfId="0" applyFont="1" applyFill="1" applyBorder="1" applyAlignment="1">
      <alignment vertical="center"/>
    </xf>
    <xf numFmtId="0" fontId="6" fillId="9" borderId="1" xfId="0" applyFont="1" applyFill="1" applyBorder="1" applyAlignment="1">
      <alignment vertical="center"/>
    </xf>
    <xf numFmtId="0" fontId="7" fillId="10" borderId="1" xfId="0" applyFont="1" applyFill="1" applyBorder="1" applyAlignment="1">
      <alignment vertical="center"/>
    </xf>
    <xf numFmtId="0" fontId="4" fillId="3" borderId="1" xfId="0" applyFont="1" applyFill="1" applyBorder="1" applyAlignment="1">
      <alignment vertical="center"/>
    </xf>
    <xf numFmtId="0" fontId="0" fillId="11" borderId="1" xfId="0" applyFill="1" applyBorder="1" applyAlignment="1">
      <alignment vertical="center" wrapText="1"/>
    </xf>
    <xf numFmtId="0" fontId="7" fillId="10" borderId="3" xfId="0" applyFont="1" applyFill="1" applyBorder="1" applyAlignment="1">
      <alignment vertical="center"/>
    </xf>
    <xf numFmtId="0" fontId="7" fillId="10" borderId="4" xfId="0" applyFont="1" applyFill="1" applyBorder="1" applyAlignment="1">
      <alignment vertical="center"/>
    </xf>
    <xf numFmtId="0" fontId="0" fillId="11" borderId="5" xfId="0" applyFill="1" applyBorder="1" applyAlignment="1">
      <alignment vertical="center" wrapText="1"/>
    </xf>
    <xf numFmtId="0" fontId="0" fillId="2" borderId="1" xfId="0" applyFill="1" applyBorder="1" applyAlignment="1">
      <alignment vertical="center" wrapText="1"/>
    </xf>
    <xf numFmtId="0" fontId="0" fillId="13" borderId="1" xfId="0" applyFill="1" applyBorder="1" applyAlignment="1">
      <alignment vertical="center" wrapText="1"/>
    </xf>
    <xf numFmtId="0" fontId="0" fillId="14" borderId="1" xfId="0" applyFill="1" applyBorder="1" applyAlignment="1">
      <alignment vertical="center" wrapText="1"/>
    </xf>
    <xf numFmtId="0" fontId="8" fillId="12" borderId="2" xfId="0" applyFont="1" applyFill="1" applyBorder="1"/>
    <xf numFmtId="0" fontId="4" fillId="4" borderId="1" xfId="0" applyFont="1" applyFill="1" applyBorder="1" applyAlignment="1">
      <alignment vertical="center" wrapText="1"/>
    </xf>
    <xf numFmtId="0" fontId="4" fillId="0" borderId="0" xfId="4" applyFont="1">
      <alignment vertical="center"/>
    </xf>
    <xf numFmtId="0" fontId="1" fillId="0" borderId="0" xfId="4">
      <alignment vertical="center"/>
    </xf>
    <xf numFmtId="0" fontId="4" fillId="0" borderId="0" xfId="4" applyFont="1" applyAlignment="1">
      <alignment horizontal="center" vertical="center"/>
    </xf>
    <xf numFmtId="0" fontId="1" fillId="0" borderId="0" xfId="4" applyAlignment="1">
      <alignment horizontal="center" vertical="center"/>
    </xf>
    <xf numFmtId="2" fontId="4" fillId="0" borderId="0" xfId="4" applyNumberFormat="1" applyFont="1" applyAlignment="1">
      <alignment horizontal="center" vertical="center"/>
    </xf>
    <xf numFmtId="0" fontId="6" fillId="0" borderId="0" xfId="4" applyFont="1">
      <alignment vertical="center"/>
    </xf>
    <xf numFmtId="2" fontId="6" fillId="0" borderId="0" xfId="4" applyNumberFormat="1" applyFont="1">
      <alignment vertical="center"/>
    </xf>
    <xf numFmtId="0" fontId="6" fillId="0" borderId="0" xfId="0" applyFont="1"/>
    <xf numFmtId="0" fontId="4" fillId="0" borderId="1" xfId="0" applyFont="1" applyBorder="1"/>
    <xf numFmtId="0" fontId="7" fillId="9" borderId="1" xfId="0" applyFont="1" applyFill="1" applyBorder="1" applyAlignment="1">
      <alignment vertical="center"/>
    </xf>
    <xf numFmtId="0" fontId="7" fillId="5" borderId="1" xfId="0" applyFont="1" applyFill="1" applyBorder="1" applyAlignment="1">
      <alignment vertical="center"/>
    </xf>
    <xf numFmtId="0" fontId="7" fillId="8" borderId="1" xfId="0" applyFont="1" applyFill="1" applyBorder="1" applyAlignment="1">
      <alignment vertical="center"/>
    </xf>
    <xf numFmtId="0" fontId="7" fillId="7" borderId="1" xfId="0" applyFont="1" applyFill="1" applyBorder="1" applyAlignment="1">
      <alignment vertical="center"/>
    </xf>
    <xf numFmtId="0" fontId="7" fillId="6" borderId="1" xfId="0" applyFont="1" applyFill="1" applyBorder="1" applyAlignment="1">
      <alignment vertical="center"/>
    </xf>
    <xf numFmtId="0" fontId="12" fillId="0" borderId="1" xfId="0" applyFont="1" applyBorder="1"/>
    <xf numFmtId="0" fontId="11" fillId="0" borderId="1" xfId="0" applyFont="1" applyBorder="1"/>
    <xf numFmtId="0" fontId="12" fillId="0" borderId="8" xfId="0" applyFont="1" applyBorder="1"/>
    <xf numFmtId="2" fontId="0" fillId="0" borderId="8" xfId="0" applyNumberFormat="1" applyBorder="1"/>
    <xf numFmtId="2" fontId="0" fillId="0" borderId="7" xfId="0" applyNumberFormat="1" applyBorder="1"/>
    <xf numFmtId="0" fontId="11" fillId="0" borderId="8" xfId="0" applyFont="1" applyBorder="1"/>
    <xf numFmtId="0" fontId="4" fillId="0" borderId="3" xfId="0" applyFont="1" applyBorder="1"/>
    <xf numFmtId="2" fontId="4" fillId="0" borderId="3" xfId="0" applyNumberFormat="1" applyFont="1" applyBorder="1"/>
    <xf numFmtId="2" fontId="4" fillId="0" borderId="1" xfId="0" applyNumberFormat="1" applyFont="1" applyBorder="1"/>
    <xf numFmtId="0" fontId="7" fillId="15" borderId="9" xfId="4" applyFont="1" applyFill="1" applyBorder="1">
      <alignment vertical="center"/>
    </xf>
    <xf numFmtId="0" fontId="7" fillId="15" borderId="12" xfId="4" applyFont="1" applyFill="1" applyBorder="1">
      <alignment vertical="center"/>
    </xf>
    <xf numFmtId="0" fontId="7" fillId="15" borderId="13" xfId="4" applyFont="1" applyFill="1" applyBorder="1">
      <alignment vertical="center"/>
    </xf>
    <xf numFmtId="0" fontId="6" fillId="9" borderId="11" xfId="0" applyFont="1" applyFill="1" applyBorder="1" applyAlignment="1">
      <alignment vertical="center"/>
    </xf>
    <xf numFmtId="2" fontId="6" fillId="9" borderId="8" xfId="0" applyNumberFormat="1" applyFont="1" applyFill="1" applyBorder="1" applyAlignment="1">
      <alignment vertical="center"/>
    </xf>
    <xf numFmtId="2" fontId="6" fillId="9" borderId="14" xfId="0" applyNumberFormat="1" applyFont="1" applyFill="1" applyBorder="1" applyAlignment="1">
      <alignment vertical="center"/>
    </xf>
    <xf numFmtId="0" fontId="6" fillId="5" borderId="11" xfId="0" applyFont="1" applyFill="1" applyBorder="1" applyAlignment="1">
      <alignment vertical="center"/>
    </xf>
    <xf numFmtId="2" fontId="6" fillId="5" borderId="8" xfId="0" applyNumberFormat="1" applyFont="1" applyFill="1" applyBorder="1" applyAlignment="1">
      <alignment vertical="center"/>
    </xf>
    <xf numFmtId="2" fontId="6" fillId="5" borderId="14" xfId="0" applyNumberFormat="1" applyFont="1" applyFill="1" applyBorder="1" applyAlignment="1">
      <alignment vertical="center"/>
    </xf>
    <xf numFmtId="0" fontId="6" fillId="8" borderId="11" xfId="0" applyFont="1" applyFill="1" applyBorder="1" applyAlignment="1">
      <alignment vertical="center"/>
    </xf>
    <xf numFmtId="2" fontId="6" fillId="8" borderId="8" xfId="0" applyNumberFormat="1" applyFont="1" applyFill="1" applyBorder="1" applyAlignment="1">
      <alignment vertical="center"/>
    </xf>
    <xf numFmtId="2" fontId="6" fillId="8" borderId="14" xfId="0" applyNumberFormat="1" applyFont="1" applyFill="1" applyBorder="1" applyAlignment="1">
      <alignment vertical="center"/>
    </xf>
    <xf numFmtId="0" fontId="6" fillId="7" borderId="11" xfId="0" applyFont="1" applyFill="1" applyBorder="1" applyAlignment="1">
      <alignment vertical="center"/>
    </xf>
    <xf numFmtId="2" fontId="6" fillId="7" borderId="8" xfId="0" applyNumberFormat="1" applyFont="1" applyFill="1" applyBorder="1" applyAlignment="1">
      <alignment vertical="center"/>
    </xf>
    <xf numFmtId="2" fontId="6" fillId="7" borderId="14" xfId="0" applyNumberFormat="1" applyFont="1" applyFill="1" applyBorder="1" applyAlignment="1">
      <alignment vertical="center"/>
    </xf>
    <xf numFmtId="0" fontId="6" fillId="6" borderId="15" xfId="0" applyFont="1" applyFill="1" applyBorder="1" applyAlignment="1">
      <alignment vertical="center"/>
    </xf>
    <xf numFmtId="2" fontId="6" fillId="6" borderId="16" xfId="0" applyNumberFormat="1" applyFont="1" applyFill="1" applyBorder="1" applyAlignment="1">
      <alignment vertical="center"/>
    </xf>
    <xf numFmtId="2" fontId="6" fillId="6" borderId="10" xfId="0" applyNumberFormat="1" applyFont="1" applyFill="1" applyBorder="1" applyAlignment="1">
      <alignment vertical="center"/>
    </xf>
    <xf numFmtId="0" fontId="11" fillId="0" borderId="17" xfId="0" applyFont="1" applyBorder="1"/>
    <xf numFmtId="0" fontId="11" fillId="0" borderId="6" xfId="0" applyFont="1" applyBorder="1"/>
    <xf numFmtId="0" fontId="10" fillId="0" borderId="0" xfId="0" applyFont="1"/>
    <xf numFmtId="0" fontId="10" fillId="0" borderId="18" xfId="0" applyFont="1" applyBorder="1"/>
    <xf numFmtId="0" fontId="13" fillId="0" borderId="17" xfId="0" applyFont="1" applyBorder="1"/>
    <xf numFmtId="0" fontId="1" fillId="0" borderId="0" xfId="4" applyAlignment="1">
      <alignment vertical="center" wrapText="1"/>
    </xf>
  </cellXfs>
  <cellStyles count="5">
    <cellStyle name="Normal" xfId="0" builtinId="0"/>
    <cellStyle name="標準 2" xfId="1" xr:uid="{00000000-0005-0000-0000-000001000000}"/>
    <cellStyle name="標準 2 2" xfId="2" xr:uid="{00000000-0005-0000-0000-000002000000}"/>
    <cellStyle name="標準 2 3" xfId="3" xr:uid="{9364AD0D-C1E2-4D4C-BFDA-669BECCDDE72}"/>
    <cellStyle name="標準 2 3 2" xfId="4" xr:uid="{7960E88D-5251-450E-8BF5-69E1DA712085}"/>
  </cellStyles>
  <dxfs count="198">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style="thin">
          <color theme="0"/>
        </left>
        <right/>
        <top style="thin">
          <color theme="4" tint="0.39997558519241921"/>
        </top>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dxf>
    <dxf>
      <font>
        <b/>
        <i val="0"/>
        <strike val="0"/>
        <condense val="0"/>
        <extend val="0"/>
        <outline val="0"/>
        <shadow val="0"/>
        <u val="none"/>
        <vertAlign val="baseline"/>
        <sz val="11"/>
        <color rgb="FFFFFFFF"/>
        <name val="Calibri"/>
        <family val="2"/>
        <scheme val="none"/>
      </font>
      <fill>
        <patternFill patternType="none">
          <fgColor indexed="64"/>
          <bgColor indexed="65"/>
        </patternFill>
      </fill>
      <border diagonalUp="0" diagonalDown="0" outline="0">
        <left style="thin">
          <color theme="0"/>
        </left>
        <right style="thin">
          <color theme="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aaa!$C$26</c:f>
              <c:strCache>
                <c:ptCount val="1"/>
                <c:pt idx="0">
                  <c:v>社内平均</c:v>
                </c:pt>
              </c:strCache>
            </c:strRef>
          </c:tx>
          <c:spPr>
            <a:ln w="28575" cap="rnd">
              <a:solidFill>
                <a:schemeClr val="accent1"/>
              </a:solidFill>
              <a:round/>
            </a:ln>
            <a:effectLst/>
          </c:spPr>
          <c:marker>
            <c:symbol val="none"/>
          </c:marker>
          <c:cat>
            <c:strRef>
              <c:f>aaa!$B$27:$B$31</c:f>
              <c:strCache>
                <c:ptCount val="5"/>
                <c:pt idx="0">
                  <c:v>パスワード管理</c:v>
                </c:pt>
                <c:pt idx="1">
                  <c:v>認証設計</c:v>
                </c:pt>
                <c:pt idx="2">
                  <c:v>テレワーク</c:v>
                </c:pt>
                <c:pt idx="3">
                  <c:v>ゼロトラスト</c:v>
                </c:pt>
                <c:pt idx="4">
                  <c:v>クラウドサービス</c:v>
                </c:pt>
              </c:strCache>
            </c:strRef>
          </c:cat>
          <c:val>
            <c:numRef>
              <c:f>aaa!$C$27:$C$31</c:f>
              <c:numCache>
                <c:formatCode>0.00</c:formatCode>
                <c:ptCount val="5"/>
                <c:pt idx="0">
                  <c:v>2.83</c:v>
                </c:pt>
                <c:pt idx="1">
                  <c:v>4.03</c:v>
                </c:pt>
                <c:pt idx="2">
                  <c:v>4.3499999999999996</c:v>
                </c:pt>
                <c:pt idx="3">
                  <c:v>2.98</c:v>
                </c:pt>
                <c:pt idx="4">
                  <c:v>2.84</c:v>
                </c:pt>
              </c:numCache>
            </c:numRef>
          </c:val>
          <c:extLst>
            <c:ext xmlns:c16="http://schemas.microsoft.com/office/drawing/2014/chart" uri="{C3380CC4-5D6E-409C-BE32-E72D297353CC}">
              <c16:uniqueId val="{00000000-95F6-4C6B-A9D0-BB3A7394B476}"/>
            </c:ext>
          </c:extLst>
        </c:ser>
        <c:ser>
          <c:idx val="1"/>
          <c:order val="1"/>
          <c:tx>
            <c:strRef>
              <c:f>aaa!$D$26</c:f>
              <c:strCache>
                <c:ptCount val="1"/>
                <c:pt idx="0">
                  <c:v>今回の得点</c:v>
                </c:pt>
              </c:strCache>
            </c:strRef>
          </c:tx>
          <c:spPr>
            <a:ln w="28575" cap="rnd">
              <a:solidFill>
                <a:schemeClr val="accent2"/>
              </a:solidFill>
              <a:round/>
            </a:ln>
            <a:effectLst/>
          </c:spPr>
          <c:marker>
            <c:symbol val="none"/>
          </c:marker>
          <c:cat>
            <c:strRef>
              <c:f>aaa!$B$27:$B$31</c:f>
              <c:strCache>
                <c:ptCount val="5"/>
                <c:pt idx="0">
                  <c:v>パスワード管理</c:v>
                </c:pt>
                <c:pt idx="1">
                  <c:v>認証設計</c:v>
                </c:pt>
                <c:pt idx="2">
                  <c:v>テレワーク</c:v>
                </c:pt>
                <c:pt idx="3">
                  <c:v>ゼロトラスト</c:v>
                </c:pt>
                <c:pt idx="4">
                  <c:v>クラウドサービス</c:v>
                </c:pt>
              </c:strCache>
            </c:strRef>
          </c:cat>
          <c:val>
            <c:numRef>
              <c:f>aaa!$D$27:$D$31</c:f>
              <c:numCache>
                <c:formatCode>0.00</c:formatCode>
                <c:ptCount val="5"/>
                <c:pt idx="0">
                  <c:v>3.75</c:v>
                </c:pt>
                <c:pt idx="1">
                  <c:v>4.5833333333333304</c:v>
                </c:pt>
                <c:pt idx="2">
                  <c:v>5</c:v>
                </c:pt>
                <c:pt idx="3">
                  <c:v>5</c:v>
                </c:pt>
                <c:pt idx="4">
                  <c:v>4.583333333333333</c:v>
                </c:pt>
              </c:numCache>
            </c:numRef>
          </c:val>
          <c:extLst>
            <c:ext xmlns:c16="http://schemas.microsoft.com/office/drawing/2014/chart" uri="{C3380CC4-5D6E-409C-BE32-E72D297353CC}">
              <c16:uniqueId val="{00000001-95F6-4C6B-A9D0-BB3A7394B476}"/>
            </c:ext>
          </c:extLst>
        </c:ser>
        <c:dLbls>
          <c:showLegendKey val="0"/>
          <c:showVal val="0"/>
          <c:showCatName val="0"/>
          <c:showSerName val="0"/>
          <c:showPercent val="0"/>
          <c:showBubbleSize val="0"/>
        </c:dLbls>
        <c:axId val="301722399"/>
        <c:axId val="301717119"/>
      </c:radarChart>
      <c:catAx>
        <c:axId val="30172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301717119"/>
        <c:crosses val="autoZero"/>
        <c:auto val="1"/>
        <c:lblAlgn val="ctr"/>
        <c:lblOffset val="100"/>
        <c:noMultiLvlLbl val="0"/>
      </c:catAx>
      <c:valAx>
        <c:axId val="301717119"/>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301722399"/>
        <c:crosses val="autoZero"/>
        <c:crossBetween val="between"/>
        <c:majorUnit val="1"/>
      </c:valAx>
      <c:spPr>
        <a:noFill/>
        <a:ln>
          <a:noFill/>
        </a:ln>
        <a:effectLst/>
      </c:spPr>
    </c:plotArea>
    <c:legend>
      <c:legendPos val="t"/>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bbb!$C$26</c:f>
              <c:strCache>
                <c:ptCount val="1"/>
                <c:pt idx="0">
                  <c:v>社内平均</c:v>
                </c:pt>
              </c:strCache>
            </c:strRef>
          </c:tx>
          <c:spPr>
            <a:ln w="28575" cap="rnd">
              <a:solidFill>
                <a:schemeClr val="accent1"/>
              </a:solidFill>
              <a:round/>
            </a:ln>
            <a:effectLst/>
          </c:spPr>
          <c:marker>
            <c:symbol val="none"/>
          </c:marker>
          <c:cat>
            <c:strRef>
              <c:f>bbb!$B$27:$B$31</c:f>
              <c:strCache>
                <c:ptCount val="5"/>
                <c:pt idx="0">
                  <c:v>パスワード管理</c:v>
                </c:pt>
                <c:pt idx="1">
                  <c:v>認証設計</c:v>
                </c:pt>
                <c:pt idx="2">
                  <c:v>テレワーク</c:v>
                </c:pt>
                <c:pt idx="3">
                  <c:v>ゼロトラスト</c:v>
                </c:pt>
                <c:pt idx="4">
                  <c:v>クラウドサービス</c:v>
                </c:pt>
              </c:strCache>
            </c:strRef>
          </c:cat>
          <c:val>
            <c:numRef>
              <c:f>bbb!$C$27:$C$31</c:f>
              <c:numCache>
                <c:formatCode>0.00</c:formatCode>
                <c:ptCount val="5"/>
                <c:pt idx="0">
                  <c:v>2.83</c:v>
                </c:pt>
                <c:pt idx="1">
                  <c:v>4.03</c:v>
                </c:pt>
                <c:pt idx="2">
                  <c:v>4.3499999999999996</c:v>
                </c:pt>
                <c:pt idx="3">
                  <c:v>2.98</c:v>
                </c:pt>
                <c:pt idx="4">
                  <c:v>2.84</c:v>
                </c:pt>
              </c:numCache>
            </c:numRef>
          </c:val>
          <c:extLst>
            <c:ext xmlns:c16="http://schemas.microsoft.com/office/drawing/2014/chart" uri="{C3380CC4-5D6E-409C-BE32-E72D297353CC}">
              <c16:uniqueId val="{00000000-DB5D-4358-AB0B-10D481AD8AE3}"/>
            </c:ext>
          </c:extLst>
        </c:ser>
        <c:ser>
          <c:idx val="1"/>
          <c:order val="1"/>
          <c:tx>
            <c:strRef>
              <c:f>bbb!$D$26</c:f>
              <c:strCache>
                <c:ptCount val="1"/>
                <c:pt idx="0">
                  <c:v>今回の得点</c:v>
                </c:pt>
              </c:strCache>
            </c:strRef>
          </c:tx>
          <c:spPr>
            <a:ln w="28575" cap="rnd">
              <a:solidFill>
                <a:schemeClr val="accent2"/>
              </a:solidFill>
              <a:round/>
            </a:ln>
            <a:effectLst/>
          </c:spPr>
          <c:marker>
            <c:symbol val="none"/>
          </c:marker>
          <c:cat>
            <c:strRef>
              <c:f>bbb!$B$27:$B$31</c:f>
              <c:strCache>
                <c:ptCount val="5"/>
                <c:pt idx="0">
                  <c:v>パスワード管理</c:v>
                </c:pt>
                <c:pt idx="1">
                  <c:v>認証設計</c:v>
                </c:pt>
                <c:pt idx="2">
                  <c:v>テレワーク</c:v>
                </c:pt>
                <c:pt idx="3">
                  <c:v>ゼロトラスト</c:v>
                </c:pt>
                <c:pt idx="4">
                  <c:v>クラウドサービス</c:v>
                </c:pt>
              </c:strCache>
            </c:strRef>
          </c:cat>
          <c:val>
            <c:numRef>
              <c:f>bbb!$D$27:$D$31</c:f>
              <c:numCache>
                <c:formatCode>0.00</c:formatCode>
                <c:ptCount val="5"/>
                <c:pt idx="0">
                  <c:v>2.916666666666667</c:v>
                </c:pt>
                <c:pt idx="1">
                  <c:v>2.916666666666667</c:v>
                </c:pt>
                <c:pt idx="2">
                  <c:v>3.75</c:v>
                </c:pt>
                <c:pt idx="3">
                  <c:v>2.5</c:v>
                </c:pt>
                <c:pt idx="4">
                  <c:v>2.0833333333333335</c:v>
                </c:pt>
              </c:numCache>
            </c:numRef>
          </c:val>
          <c:extLst>
            <c:ext xmlns:c16="http://schemas.microsoft.com/office/drawing/2014/chart" uri="{C3380CC4-5D6E-409C-BE32-E72D297353CC}">
              <c16:uniqueId val="{00000001-DB5D-4358-AB0B-10D481AD8AE3}"/>
            </c:ext>
          </c:extLst>
        </c:ser>
        <c:dLbls>
          <c:showLegendKey val="0"/>
          <c:showVal val="0"/>
          <c:showCatName val="0"/>
          <c:showSerName val="0"/>
          <c:showPercent val="0"/>
          <c:showBubbleSize val="0"/>
        </c:dLbls>
        <c:axId val="301722399"/>
        <c:axId val="301717119"/>
      </c:radarChart>
      <c:catAx>
        <c:axId val="30172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301717119"/>
        <c:crosses val="autoZero"/>
        <c:auto val="1"/>
        <c:lblAlgn val="ctr"/>
        <c:lblOffset val="100"/>
        <c:noMultiLvlLbl val="0"/>
      </c:catAx>
      <c:valAx>
        <c:axId val="301717119"/>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301722399"/>
        <c:crosses val="autoZero"/>
        <c:crossBetween val="between"/>
        <c:majorUnit val="1"/>
      </c:valAx>
      <c:spPr>
        <a:noFill/>
        <a:ln>
          <a:noFill/>
        </a:ln>
        <a:effectLst/>
      </c:spPr>
    </c:plotArea>
    <c:legend>
      <c:legendPos val="t"/>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ccc!$C$26</c:f>
              <c:strCache>
                <c:ptCount val="1"/>
                <c:pt idx="0">
                  <c:v>社内平均</c:v>
                </c:pt>
              </c:strCache>
            </c:strRef>
          </c:tx>
          <c:spPr>
            <a:ln w="28575" cap="rnd">
              <a:solidFill>
                <a:schemeClr val="accent1"/>
              </a:solidFill>
              <a:round/>
            </a:ln>
            <a:effectLst/>
          </c:spPr>
          <c:marker>
            <c:symbol val="none"/>
          </c:marker>
          <c:cat>
            <c:strRef>
              <c:f>ccc!$B$27:$B$31</c:f>
              <c:strCache>
                <c:ptCount val="5"/>
                <c:pt idx="0">
                  <c:v>パスワード管理</c:v>
                </c:pt>
                <c:pt idx="1">
                  <c:v>認証設計</c:v>
                </c:pt>
                <c:pt idx="2">
                  <c:v>テレワーク</c:v>
                </c:pt>
                <c:pt idx="3">
                  <c:v>ゼロトラスト</c:v>
                </c:pt>
                <c:pt idx="4">
                  <c:v>クラウドサービス</c:v>
                </c:pt>
              </c:strCache>
            </c:strRef>
          </c:cat>
          <c:val>
            <c:numRef>
              <c:f>ccc!$C$27:$C$31</c:f>
              <c:numCache>
                <c:formatCode>0.00</c:formatCode>
                <c:ptCount val="5"/>
                <c:pt idx="0">
                  <c:v>2.83</c:v>
                </c:pt>
                <c:pt idx="1">
                  <c:v>4.03</c:v>
                </c:pt>
                <c:pt idx="2">
                  <c:v>4.3499999999999996</c:v>
                </c:pt>
                <c:pt idx="3">
                  <c:v>2.98</c:v>
                </c:pt>
                <c:pt idx="4">
                  <c:v>2.84</c:v>
                </c:pt>
              </c:numCache>
            </c:numRef>
          </c:val>
          <c:extLst>
            <c:ext xmlns:c16="http://schemas.microsoft.com/office/drawing/2014/chart" uri="{C3380CC4-5D6E-409C-BE32-E72D297353CC}">
              <c16:uniqueId val="{00000000-9B57-4D7E-AC6E-8AA11E45ADFC}"/>
            </c:ext>
          </c:extLst>
        </c:ser>
        <c:ser>
          <c:idx val="1"/>
          <c:order val="1"/>
          <c:tx>
            <c:strRef>
              <c:f>ccc!$D$26</c:f>
              <c:strCache>
                <c:ptCount val="1"/>
                <c:pt idx="0">
                  <c:v>今回の得点</c:v>
                </c:pt>
              </c:strCache>
            </c:strRef>
          </c:tx>
          <c:spPr>
            <a:ln w="28575" cap="rnd">
              <a:solidFill>
                <a:schemeClr val="accent2"/>
              </a:solidFill>
              <a:round/>
            </a:ln>
            <a:effectLst/>
          </c:spPr>
          <c:marker>
            <c:symbol val="none"/>
          </c:marker>
          <c:cat>
            <c:strRef>
              <c:f>ccc!$B$27:$B$31</c:f>
              <c:strCache>
                <c:ptCount val="5"/>
                <c:pt idx="0">
                  <c:v>パスワード管理</c:v>
                </c:pt>
                <c:pt idx="1">
                  <c:v>認証設計</c:v>
                </c:pt>
                <c:pt idx="2">
                  <c:v>テレワーク</c:v>
                </c:pt>
                <c:pt idx="3">
                  <c:v>ゼロトラスト</c:v>
                </c:pt>
                <c:pt idx="4">
                  <c:v>クラウドサービス</c:v>
                </c:pt>
              </c:strCache>
            </c:strRef>
          </c:cat>
          <c:val>
            <c:numRef>
              <c:f>ccc!$D$27:$D$31</c:f>
              <c:numCache>
                <c:formatCode>0.00</c:formatCode>
                <c:ptCount val="5"/>
                <c:pt idx="0">
                  <c:v>2.916666666666667</c:v>
                </c:pt>
                <c:pt idx="1">
                  <c:v>4.166666666666667</c:v>
                </c:pt>
                <c:pt idx="2">
                  <c:v>4.583333333333333</c:v>
                </c:pt>
                <c:pt idx="3">
                  <c:v>4.166666666666667</c:v>
                </c:pt>
                <c:pt idx="4">
                  <c:v>4.166666666666667</c:v>
                </c:pt>
              </c:numCache>
            </c:numRef>
          </c:val>
          <c:extLst>
            <c:ext xmlns:c16="http://schemas.microsoft.com/office/drawing/2014/chart" uri="{C3380CC4-5D6E-409C-BE32-E72D297353CC}">
              <c16:uniqueId val="{00000001-9B57-4D7E-AC6E-8AA11E45ADFC}"/>
            </c:ext>
          </c:extLst>
        </c:ser>
        <c:dLbls>
          <c:showLegendKey val="0"/>
          <c:showVal val="0"/>
          <c:showCatName val="0"/>
          <c:showSerName val="0"/>
          <c:showPercent val="0"/>
          <c:showBubbleSize val="0"/>
        </c:dLbls>
        <c:axId val="301722399"/>
        <c:axId val="301717119"/>
      </c:radarChart>
      <c:catAx>
        <c:axId val="30172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301717119"/>
        <c:crosses val="autoZero"/>
        <c:auto val="1"/>
        <c:lblAlgn val="ctr"/>
        <c:lblOffset val="100"/>
        <c:noMultiLvlLbl val="0"/>
      </c:catAx>
      <c:valAx>
        <c:axId val="301717119"/>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301722399"/>
        <c:crosses val="autoZero"/>
        <c:crossBetween val="between"/>
        <c:majorUnit val="1"/>
      </c:valAx>
      <c:spPr>
        <a:noFill/>
        <a:ln>
          <a:noFill/>
        </a:ln>
        <a:effectLst/>
      </c:spPr>
    </c:plotArea>
    <c:legend>
      <c:legendPos val="t"/>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419100</xdr:colOff>
          <xdr:row>8</xdr:row>
          <xdr:rowOff>19050</xdr:rowOff>
        </xdr:from>
        <xdr:to>
          <xdr:col>4</xdr:col>
          <xdr:colOff>1981200</xdr:colOff>
          <xdr:row>13</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16600</xdr:colOff>
      <xdr:row>7</xdr:row>
      <xdr:rowOff>19322</xdr:rowOff>
    </xdr:from>
    <xdr:to>
      <xdr:col>4</xdr:col>
      <xdr:colOff>1044756</xdr:colOff>
      <xdr:row>18</xdr:row>
      <xdr:rowOff>70213</xdr:rowOff>
    </xdr:to>
    <xdr:graphicFrame macro="">
      <xdr:nvGraphicFramePr>
        <xdr:cNvPr id="2" name="グラフ 1">
          <a:extLst>
            <a:ext uri="{FF2B5EF4-FFF2-40B4-BE49-F238E27FC236}">
              <a16:creationId xmlns:a16="http://schemas.microsoft.com/office/drawing/2014/main" id="{64CD5AE1-C2E1-4096-A5F7-B5065B5BF4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16600</xdr:colOff>
      <xdr:row>7</xdr:row>
      <xdr:rowOff>19322</xdr:rowOff>
    </xdr:from>
    <xdr:to>
      <xdr:col>4</xdr:col>
      <xdr:colOff>1044756</xdr:colOff>
      <xdr:row>18</xdr:row>
      <xdr:rowOff>70213</xdr:rowOff>
    </xdr:to>
    <xdr:graphicFrame macro="">
      <xdr:nvGraphicFramePr>
        <xdr:cNvPr id="2" name="グラフ 1">
          <a:extLst>
            <a:ext uri="{FF2B5EF4-FFF2-40B4-BE49-F238E27FC236}">
              <a16:creationId xmlns:a16="http://schemas.microsoft.com/office/drawing/2014/main" id="{0CBCB123-8C7F-4055-AAA9-083C2D7E2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16600</xdr:colOff>
      <xdr:row>7</xdr:row>
      <xdr:rowOff>19322</xdr:rowOff>
    </xdr:from>
    <xdr:to>
      <xdr:col>4</xdr:col>
      <xdr:colOff>1044756</xdr:colOff>
      <xdr:row>18</xdr:row>
      <xdr:rowOff>70213</xdr:rowOff>
    </xdr:to>
    <xdr:graphicFrame macro="">
      <xdr:nvGraphicFramePr>
        <xdr:cNvPr id="2" name="グラフ 1">
          <a:extLst>
            <a:ext uri="{FF2B5EF4-FFF2-40B4-BE49-F238E27FC236}">
              <a16:creationId xmlns:a16="http://schemas.microsoft.com/office/drawing/2014/main" id="{37349C81-A427-4215-A376-E59EF76DBC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EAEDBCF-34CE-4B51-A101-E84CAF6DBCFA}" name="テーブル2" displayName="テーブル2" ref="A1:GM54" totalsRowShown="0" headerRowDxfId="197" dataDxfId="196" tableBorderDxfId="195">
  <autoFilter ref="A1:GM54" xr:uid="{DEAEDBCF-34CE-4B51-A101-E84CAF6DBCFA}"/>
  <tableColumns count="195">
    <tableColumn id="1" xr3:uid="{825BD6FE-926B-4898-80E7-7115597C3466}" name="ID" dataDxfId="194"/>
    <tableColumn id="2" xr3:uid="{15CBCF46-4916-4EFD-A64C-BF28A745C0F5}" name="開始時刻" dataDxfId="193"/>
    <tableColumn id="3" xr3:uid="{362C34B5-6970-4665-A1D8-D778AB7A0A2B}" name="完了時刻" dataDxfId="192"/>
    <tableColumn id="4" xr3:uid="{44839C69-207B-44F5-A10D-6D15EB27C952}" name="メール" dataDxfId="191"/>
    <tableColumn id="5" xr3:uid="{2D72606C-99CE-4704-8164-FE5612513924}" name="名前" dataDxfId="190"/>
    <tableColumn id="6" xr3:uid="{CE6DE94D-5B27-42EA-A7D2-E2DB7902783A}" name="合計点数" dataDxfId="189"/>
    <tableColumn id="7" xr3:uid="{F73CDB24-8B08-40B7-9FDA-FDB050A27027}" name="クイズのフィードバック" dataDxfId="188"/>
    <tableColumn id="8" xr3:uid="{4F9DA6A5-4F4D-4F30-BFB3-8428E5FB056C}" name="最終変更時刻" dataDxfId="187"/>
    <tableColumn id="9" xr3:uid="{321C3F02-704F-4FA8-A072-D109BFD94FA0}" name="部署名" dataDxfId="186"/>
    <tableColumn id="10" xr3:uid="{133662D5-AF35-451F-94F9-39C6CC605123}" name="点数 - 部署名" dataDxfId="185"/>
    <tableColumn id="11" xr3:uid="{315FD9E4-982E-4A7D-91C0-7076F2DFB39B}" name="フィードバック - 部署名" dataDxfId="184"/>
    <tableColumn id="12" xr3:uid="{A2D4D830-E9AD-4CE8-9C90-78B0B1EEEC59}" name="氏名" dataDxfId="183"/>
    <tableColumn id="13" xr3:uid="{60C0163C-56BC-451B-86A6-4B84C0125B2C}" name="メールアドレス" dataDxfId="182"/>
    <tableColumn id="14" xr3:uid="{987C4CEE-B8F4-4C7C-BC1D-756EB7D9FCC7}" name="点数 - メールアドレス" dataDxfId="181"/>
    <tableColumn id="15" xr3:uid="{34B57369-76E1-4EFF-90D9-1132E1357DDD}" name="フィードバック - メールアドレス" dataDxfId="180"/>
    <tableColumn id="16" xr3:uid="{BF305B7A-214F-414C-97F6-461FBA999F85}" name="多くの ID／パスワードを扱う環境で最初に実装すべき運用はどれか。" dataDxfId="179"/>
    <tableColumn id="17" xr3:uid="{B7B97784-370A-4B2F-8B07-2945D9B2E9C5}" name="点数 - 多くの ID／パスワードを扱う環境で最初に実装すべき運用はどれか。" dataDxfId="178"/>
    <tableColumn id="18" xr3:uid="{38F3FED6-FA0B-4B82-8EDD-05F72ED83B07}" name="フィードバック - 多くの ID／パスワードを扱う環境で最初に実装すべき運用はどれか。" dataDxfId="177"/>
    <tableColumn id="19" xr3:uid="{5A4C7F93-6F4C-46ED-BA21-C53035DB117A}" name="パスワードポリシーに「長さ優先」＋「文章型パスフレーズ推奨」を同時に採用する主なメリットはどれか。" dataDxfId="176"/>
    <tableColumn id="20" xr3:uid="{4EF91A1F-39A4-4B30-83DE-C32C6CF947A0}" name="点数 - パスワードポリシーに「長さ優先」＋「文章型パスフレーズ推奨」を同時に採用する主なメリットはどれか。" dataDxfId="175"/>
    <tableColumn id="21" xr3:uid="{DBC413D5-CC6C-41EB-88CB-BECC20DB9C0E}" name="フィードバック - パスワードポリシーに「長さ優先」＋「文章型パスフレーズ推奨」を同時に採用する主なメリットはどれか。" dataDxfId="174"/>
    <tableColumn id="22" xr3:uid="{4AF8F7AE-D056-4C44-BDAC-A7C09E3DC1E3}" name="パスワードマネージャーの導入後も残る重要なリスクとして、特に考慮すべきものはどれか。" dataDxfId="173"/>
    <tableColumn id="23" xr3:uid="{59CD0656-2797-41A0-BFC4-E6DD93D5A1DD}" name="点数 - パスワードマネージャーの導入後も残る重要なリスクとして、特に考慮すべきものはどれか。" dataDxfId="172"/>
    <tableColumn id="24" xr3:uid="{5800A50E-FB9B-4017-B8B4-5E772A1C5FA1}" name="フィードバック - パスワードマネージャーの導入後も残る重要なリスクとして、特に考慮すべきものはどれか。" dataDxfId="171"/>
    <tableColumn id="25" xr3:uid="{72B5CE67-069D-490A-888A-E4245D2BC1E9}" name="パスワードについて、定期的な変更の強制を廃止し、イベントベース更新へ移行する際に必要となる仕組みはどれか。" dataDxfId="170"/>
    <tableColumn id="26" xr3:uid="{E96D40F1-7B3F-4087-97B6-3530A90E4F95}" name="点数 - パスワードについて、定期的な変更の強制を廃止し、イベントベース更新へ移行する際に必要となる仕組みはどれか。" dataDxfId="169"/>
    <tableColumn id="27" xr3:uid="{AC414E15-D41A-4DD0-B448-A2560CBCB4A4}" name="フィードバック - パスワードについて、定期的な変更の強制を廃止し、イベントベース更新へ移行する際に必要となる仕組みはどれか。" dataDxfId="168"/>
    <tableColumn id="28" xr3:uid="{15277CF8-3179-43B3-977D-9868567AB94E}" name="「社内での不適切なパスワード管理」を根本的に減らすための施策はどれか。" dataDxfId="167"/>
    <tableColumn id="29" xr3:uid="{2983EE5B-0C63-4132-930E-43CEF0EA12FE}" name="フィードバック - 「社内での不適切なパスワード管理」を根本的に減らすための施策はどれか。" dataDxfId="166"/>
    <tableColumn id="30" xr3:uid="{9B35990D-23A3-4906-98C5-0F14D5E7A828}" name="点数 - 「社内での不適切なパスワード管理」を根本的に減らすための施策はどれか。" dataDxfId="165"/>
    <tableColumn id="31" xr3:uid="{BDE61C7F-A847-48D6-8B26-EB44B19BAD8D}" name="知識要素と所有要素で構成される多要素認証（MFA）の組み合わせとして適切なものはどれか。" dataDxfId="164"/>
    <tableColumn id="32" xr3:uid="{E84ECCDC-5EB5-4755-AF9B-063663708E11}" name="フィードバック - 知識要素と所有要素で構成される多要素認証（MFA）の組み合わせとして適切なものはどれか。" dataDxfId="163"/>
    <tableColumn id="33" xr3:uid="{F4483312-859E-4FD9-925D-3657A20D22B0}" name="点数 - 知識要素と所有要素で構成される多要素認証（MFA）の組み合わせとして適切なものはどれか。" dataDxfId="162"/>
    <tableColumn id="34" xr3:uid="{B71D84E9-671E-4153-8C1B-4ECA80458C2D}" name="シングルサインオン（SSO）導入後にフィッシング被害が拡大しやすくなるケースはどれか。" dataDxfId="161"/>
    <tableColumn id="35" xr3:uid="{9E7ADFE6-F411-4659-9EA1-E7F71A1A3092}" name="フィードバック - シングルサインオン（SSO）導入後にフィッシング被害が拡大しやすくなるケースはどれか。" dataDxfId="160"/>
    <tableColumn id="36" xr3:uid="{E31BB3D9-1A34-4806-8458-4CFF77B14E04}" name="点数 - シングルサインオン（SSO）導入後にフィッシング被害が拡大しやすくなるケースはどれか。" dataDxfId="159"/>
    <tableColumn id="37" xr3:uid="{AD8C613A-2261-40CF-905A-B3DDAD9CE322}" name="Passkeyの「端末間シームレス利用」を成立させる前提として正しいものはどれか。" dataDxfId="158"/>
    <tableColumn id="38" xr3:uid="{B5F67A9C-2D88-453C-9B19-C92E14685733}" name="フィードバック - Passkeyの「端末間シームレス利用」を成立させる前提として正しいものはどれか。" dataDxfId="157"/>
    <tableColumn id="39" xr3:uid="{22BDD375-7E7A-48E2-9442-17097DBE0D64}" name="点数 - Passkeyの「端末間シームレス利用」を成立させる前提として正しいものはどれか。" dataDxfId="156"/>
    <tableColumn id="40" xr3:uid="{C363B855-511E-4BDD-83A3-9320162B3E8C}" name="文章型パスフレーズを採用する場合に追加で策定すべきガイドラインはどれか。" dataDxfId="155"/>
    <tableColumn id="41" xr3:uid="{BAD222BF-9FAF-4BF2-894D-36CB07ACBB9D}" name="フィードバック - 文章型パスフレーズを採用する場合に追加で策定すべきガイドラインはどれか。" dataDxfId="154"/>
    <tableColumn id="42" xr3:uid="{9DA27A3F-1F6D-4CEF-B162-74FE0CBF1F41}" name="点数 - 文章型パスフレーズを採用する場合に追加で策定すべきガイドラインはどれか。" dataDxfId="153"/>
    <tableColumn id="43" xr3:uid="{C24D15CC-6A7C-4438-AD0F-23CFFBE281F3}" name="パスワードレス化を進める際に最初に行うべき準備として最も適切なものはどれか。" dataDxfId="152"/>
    <tableColumn id="44" xr3:uid="{AED8FF2A-F2A7-4BEC-B0F7-D8CD47C3BD2E}" name="フィードバック - パスワードレス化を進める際に最初に行うべき準備として最も適切なものはどれか。" dataDxfId="151"/>
    <tableColumn id="45" xr3:uid="{3EA06A34-866C-45D0-8C1B-A5E22E1FB7FD}" name="点数 - パスワードレス化を進める際に最初に行うべき準備として最も適切なものはどれか。" dataDxfId="150"/>
    <tableColumn id="46" xr3:uid="{F7EF116F-205D-4D8D-B35A-4579156F5D3F}" name="パスワードレス化によりエンドユーザーが最も早く実感しやすい利便性はどれか。" dataDxfId="149"/>
    <tableColumn id="47" xr3:uid="{459B2E68-F175-4E8A-9D48-2E5179E79A57}" name="フィードバック - パスワードレス化によりエンドユーザーが最も早く実感しやすい利便性はどれか。" dataDxfId="148"/>
    <tableColumn id="48" xr3:uid="{6F666413-34D1-416D-AEED-FF41AE6F1F32}" name="点数 - パスワードレス化によりエンドユーザーが最も早く実感しやすい利便性はどれか。" dataDxfId="147"/>
    <tableColumn id="49" xr3:uid="{0812CD62-57DB-459A-8E41-E0915DEC69D8}" name="MFA・SSO・Passkeyなどの認証方法を導入した後も依然として残りうる攻撃手法は次のうちどれか。" dataDxfId="146"/>
    <tableColumn id="50" xr3:uid="{25849C90-344D-4C8D-8FC1-AA1909CB426A}" name="フィードバック - MFA・SSO・Passkeyなどの認証方法を導入した後も依然として残りうる攻撃手法は次のうちどれか。" dataDxfId="145"/>
    <tableColumn id="51" xr3:uid="{C2A3EAA9-0E8E-4427-A716-8C18995FBFAB}" name="点数 - MFA・SSO・Passkeyなどの認証方法を導入した後も依然として残りうる攻撃手法は次のうちどれか。" dataDxfId="144"/>
    <tableColumn id="52" xr3:uid="{EEAC216E-B1F8-40AD-8C60-8F19F6791723}" name="認証の主な目的として最も適切なものはどれか。" dataDxfId="143"/>
    <tableColumn id="53" xr3:uid="{3CD5C8C4-B486-47D6-8263-FC67E3F11BA7}" name="フィードバック - 認証の主な目的として最も適切なものはどれか。" dataDxfId="142"/>
    <tableColumn id="54" xr3:uid="{B0D95A53-3D6A-4896-9F35-0C5EC785677B}" name="点数 - 認証の主な目的として最も適切なものはどれか。" dataDxfId="141"/>
    <tableColumn id="55" xr3:uid="{8E2CBF3D-6126-4188-80C2-93FDA0524DC7}" name="認証と認可を設計段階で分離して扱うべき主な理由はどれか。" dataDxfId="140"/>
    <tableColumn id="56" xr3:uid="{4F034D6D-CE3C-488F-830D-53F11973A618}" name="フィードバック - 認証と認可を設計段階で分離して扱うべき主な理由はどれか。" dataDxfId="139"/>
    <tableColumn id="57" xr3:uid="{E9FCC4A5-EC99-4782-B090-EFE49A6A108E}" name="点数 - 認証と認可を設計段階で分離して扱うべき主な理由はどれか。" dataDxfId="138"/>
    <tableColumn id="58" xr3:uid="{DBA17B40-4277-41C1-AC02-74A7EB47379F}" name="最小権限の原則を適用した認可設計において、権限過多によるセキュリティリスクを最も効果的に検知する方法はどれか。" dataDxfId="137"/>
    <tableColumn id="59" xr3:uid="{C3F4D3EA-D053-4358-895B-FAF9BED5A871}" name="フィードバック - 最小権限の原則を適用した認可設計において、権限過多によるセキュリティリスクを最も効果的に検知する方法はどれか。" dataDxfId="136"/>
    <tableColumn id="60" xr3:uid="{E4A89806-EC11-4924-83E7-67B01DE0DA40}" name="点数 - 最小権限の原則を適用した認可設計において、権限過多によるセキュリティリスクを最も効果的に検知する方法はどれか。" dataDxfId="135"/>
    <tableColumn id="61" xr3:uid="{A6D90EB8-2D3F-4C3B-8450-931D99C8F77A}" name="認証設計の観点から、「最小権限の原則」の形骸化を防ぐ方法として適切なものはどれか。" dataDxfId="134"/>
    <tableColumn id="62" xr3:uid="{AF439452-FAF2-4D2B-84EF-6C1EEBB8A37D}" name="フィードバック - 認証設計の観点から、「最小権限の原則」の形骸化を防ぐ方法として適切なものはどれか。" dataDxfId="133"/>
    <tableColumn id="63" xr3:uid="{317F1E15-A18C-4C4B-BCD8-108794188088}" name="点数 - 認証設計の観点から、「最小権限の原則」の形骸化を防ぐ方法として適切なものはどれか。" dataDxfId="132"/>
    <tableColumn id="64" xr3:uid="{FA9BCC51-8F8C-43F1-8F8D-30B617AF3B53}" name="認証設計において、プロトコル選定時に最も重要となる観点はどれか。" dataDxfId="131"/>
    <tableColumn id="65" xr3:uid="{C4D82715-ABD2-460F-A02B-883CEA32402E}" name="フィードバック - 認証設計において、プロトコル選定時に最も重要となる観点はどれか。" dataDxfId="130"/>
    <tableColumn id="66" xr3:uid="{253B829A-2EE3-4B46-AB76-B0D46AD0411C}" name="点数 - 認証設計において、プロトコル選定時に最も重要となる観点はどれか。" dataDxfId="129"/>
    <tableColumn id="67" xr3:uid="{6E71D290-50C9-428A-A188-85394892EC29}" name="認証情報を安全に扱うための設計として、最も適切なものはどれか。" dataDxfId="128"/>
    <tableColumn id="68" xr3:uid="{8CD833D8-BD51-45B6-8B13-1FE1FD7EBC6A}" name="フィードバック - 認証情報を安全に扱うための設計として、最も適切なものはどれか。" dataDxfId="127"/>
    <tableColumn id="69" xr3:uid="{9DA66D90-6C9A-4898-A500-09F5D0863251}" name="点数 - 認証情報を安全に扱うための設計として、最も適切なものはどれか。" dataDxfId="126"/>
    <tableColumn id="70" xr3:uid="{F8C5F594-7108-4DD6-AFEC-AE4FA30732A9}" name="認証情報の取り扱いに関するベストプラクティスとして最も適切なのはどれか。" dataDxfId="125"/>
    <tableColumn id="71" xr3:uid="{09CF11F3-0697-47F3-BDBD-CFB22D33795F}" name="フィードバック - 認証情報の取り扱いに関するベストプラクティスとして最も適切なのはどれか。" dataDxfId="124"/>
    <tableColumn id="72" xr3:uid="{8055AB7A-66C9-4E4F-A252-74F93074F1EF}" name="点数 - 認証情報の取り扱いに関するベストプラクティスとして最も適切なのはどれか。" dataDxfId="123"/>
    <tableColumn id="73" xr3:uid="{64EADFC6-7EE0-4066-B7EE-32DFDF99BDE7}" name="認証設計において「UI・UX」とのバランスが課題となるのはどのような状況か。" dataDxfId="122"/>
    <tableColumn id="74" xr3:uid="{F95B3F55-C1BE-49A8-8AC1-EF397E11C371}" name="点数 - 認証設計において「UI・UX」とのバランスが課題となるのはどのような状況か。" dataDxfId="121"/>
    <tableColumn id="75" xr3:uid="{E3332423-5ACB-42C3-8FF6-CB5C735DF729}" name="フィードバック - 認証設計において「UI・UX」とのバランスが課題となるのはどのような状況か。" dataDxfId="120"/>
    <tableColumn id="76" xr3:uid="{6522366C-D2D6-47C7-872F-8F4138933A62}" name="認証に関連する設計全体で意識すべき方針として、最も適切なものはどれか。" dataDxfId="119"/>
    <tableColumn id="77" xr3:uid="{4B4C52AC-AB4C-4272-B8A4-DBC97AA7C85F}" name="点数 - 認証に関連する設計全体で意識すべき方針として、最も適切なものはどれか。" dataDxfId="118"/>
    <tableColumn id="78" xr3:uid="{0B302CA8-FAD3-4C76-85F7-E22B705E5BC1}" name="フィードバック - 認証に関連する設計全体で意識すべき方針として、最も適切なものはどれか。" dataDxfId="117"/>
    <tableColumn id="79" xr3:uid="{B78E608F-DFD5-4638-BDDC-95E35F106D9D}" name="ユーザーの状況に応じて認証の強度を自動的に変える仕組みが最も効果的なケースはどれか。" dataDxfId="116"/>
    <tableColumn id="80" xr3:uid="{489E14CF-BAC0-45FC-B0AF-707AF295B536}" name="点数 - ユーザーの状況に応じて認証の強度を自動的に変える仕組みが最も効果的なケースはどれか。" dataDxfId="115"/>
    <tableColumn id="81" xr3:uid="{5F567785-4455-40A9-AD06-6A301C8D54AE}" name="フィードバック - ユーザーの状況に応じて認証の強度を自動的に変える仕組みが最も効果的なケースはどれか。" dataDxfId="114"/>
    <tableColumn id="82" xr3:uid="{ED29D959-87F9-4852-A682-64F4BECC8E55}" name="認証関連ログの活用において、ログ設計で最も重要な視点はどれか。" dataDxfId="113"/>
    <tableColumn id="83" xr3:uid="{BE9CC73E-54FB-470F-9DC2-2E5F9F653A30}" name="点数 - 認証関連ログの活用において、ログ設計で最も重要な視点はどれか。" dataDxfId="112"/>
    <tableColumn id="84" xr3:uid="{137A858A-DF22-4DB0-820D-ACEDCB77DF11}" name="フィードバック - 認証関連ログの活用において、ログ設計で最も重要な視点はどれか。" dataDxfId="111"/>
    <tableColumn id="85" xr3:uid="{C8F10A35-DA43-4311-BF14-F3DBB1D7858E}" name="認証関連のログを運用で活用する際、重要な取り組みはどれか。" dataDxfId="110"/>
    <tableColumn id="86" xr3:uid="{8068C222-4C10-4EE5-A32E-83E36EC08F30}" name="点数 - 認証関連のログを運用で活用する際、重要な取り組みはどれか。" dataDxfId="109"/>
    <tableColumn id="87" xr3:uid="{75A8D066-ACBD-41D5-AD87-B5EF673A4874}" name="フィードバック - 認証関連のログを運用で活用する際、重要な取り組みはどれか。" dataDxfId="108"/>
    <tableColumn id="88" xr3:uid="{03226421-1450-458A-AA01-ABBBF0E5DA99}" name=" テレワーク環境において、従来のオフィス勤務と比較して最も注意すべきセキュリティリスクはどれか。" dataDxfId="107"/>
    <tableColumn id="89" xr3:uid="{1A72B621-35C2-460C-8BF4-FA3B181989F6}" name="フィードバック -  テレワーク環境において、従来のオフィス勤務と比較して最も注意すべきセキュリティリスクはどれか。" dataDxfId="106"/>
    <tableColumn id="90" xr3:uid="{29E44708-65A7-4B49-8770-73327C1ED835}" name="点数 -  テレワーク環境において、従来のオフィス勤務と比較して最も注意すべきセキュリティリスクはどれか。" dataDxfId="105"/>
    <tableColumn id="91" xr3:uid="{B049FA5D-202E-45FA-853F-17810E6A9E71}" name="テレワーク環境でクラウドサービスやコラボレーションツールの利用が拡大することに伴い、IT部門にとっての課題として最も適切なのはどれか。" dataDxfId="104"/>
    <tableColumn id="92" xr3:uid="{F893D72E-44FF-41AC-9237-01AC88D3F960}" name="フィードバック - テレワーク環境でクラウドサービスやコラボレーションツールの利用が拡大することに伴い、IT部門にとっての課題として最も適切なのはどれか。" dataDxfId="103"/>
    <tableColumn id="93" xr3:uid="{AB19C144-65A7-441F-9DD9-334C857873CD}" name="点数 - テレワーク環境でクラウドサービスやコラボレーションツールの利用が拡大することに伴い、IT部門にとっての課題として最も適切なのはどれか。" dataDxfId="102"/>
    <tableColumn id="94" xr3:uid="{EC43476C-F6CC-4D0F-AAE6-6BAE543FD338}" name="テレワーク環境での情報漏えい対策として、最も適切なものはどれか。" dataDxfId="101"/>
    <tableColumn id="95" xr3:uid="{BF628CE1-B419-406A-8ABF-868C5942B45F}" name="フィードバック - テレワーク環境での情報漏えい対策として、最も適切なものはどれか。" dataDxfId="100"/>
    <tableColumn id="96" xr3:uid="{990DF369-859C-4814-A930-41048C6EE95A}" name="点数 - テレワーク環境での情報漏えい対策として、最も適切なものはどれか。" dataDxfId="99"/>
    <tableColumn id="97" xr3:uid="{08C165EF-49D4-4E6F-8C15-DCAE6A895619}" name="テレワーク時の端末管理に関して、セキュリティリスクが特に高まるのはどのような状態か。" dataDxfId="98"/>
    <tableColumn id="98" xr3:uid="{6FBF3573-04EB-4F58-B1BF-9A7F7F7B3358}" name="フィードバック - テレワーク時の端末管理に関して、セキュリティリスクが特に高まるのはどのような状態か。" dataDxfId="97"/>
    <tableColumn id="99" xr3:uid="{892867AD-FC11-4048-A1F7-67EEFF5E003B}" name="点数 - テレワーク時の端末管理に関して、セキュリティリスクが特に高まるのはどのような状態か。" dataDxfId="96"/>
    <tableColumn id="100" xr3:uid="{87C68492-50FF-4C7F-8A98-C24544F08218}" name="テレワークでの情報漏えいリスクとして、「ユーザー操作のリスク」に該当するものはどれか。" dataDxfId="95"/>
    <tableColumn id="101" xr3:uid="{06083A17-7079-4D39-8A5A-B562B7093A13}" name="フィードバック - テレワークでの情報漏えいリスクとして、「ユーザー操作のリスク」に該当するものはどれか。" dataDxfId="94"/>
    <tableColumn id="102" xr3:uid="{32F04202-FD5C-4915-BE98-E31F3779B706}" name="点数 - テレワークでの情報漏えいリスクとして、「ユーザー操作のリスク」に該当するものはどれか。" dataDxfId="93"/>
    <tableColumn id="103" xr3:uid="{DBBC042B-141F-4079-B006-0D5DA18EA9C1}" name="テレワーク環境を標的とした攻撃の特徴と、特に狙われやすいリスク要因として正しいものはどれか。" dataDxfId="92"/>
    <tableColumn id="104" xr3:uid="{E31270EF-A151-4BED-A811-88129B871BD2}" name="フィードバック - テレワーク環境を標的とした攻撃の特徴と、特に狙われやすいリスク要因として正しいものはどれか。" dataDxfId="91"/>
    <tableColumn id="105" xr3:uid="{CB72E73A-FD5C-48F8-A73E-E814EF0F0DEE}" name="点数 - テレワーク環境を標的とした攻撃の特徴と、特に狙われやすいリスク要因として正しいものはどれか。" dataDxfId="90"/>
    <tableColumn id="106" xr3:uid="{B3CB3D0C-2CC9-4FF7-A4D1-B6E3F0BF4750}" name="在宅勤務環境におけるセキュリティ格差の原因として最も適切なものはどれか。" dataDxfId="89"/>
    <tableColumn id="107" xr3:uid="{F104816D-360B-4077-A93D-2E5E0811BAEF}" name="フィードバック - 在宅勤務環境におけるセキュリティ格差の原因として最も適切なものはどれか。" dataDxfId="88"/>
    <tableColumn id="108" xr3:uid="{19409ED2-5107-41C3-B59D-7B6A87696B48}" name="点数 - 在宅勤務環境におけるセキュリティ格差の原因として最も適切なものはどれか。" dataDxfId="87"/>
    <tableColumn id="109" xr3:uid="{C7111B0C-00C7-4D77-B7CD-498A410A20B6}" name="テレワーク方式の選択において、「業務データを端末に残さない」ことを重視する場合に適切な方式はどれか。" dataDxfId="86"/>
    <tableColumn id="110" xr3:uid="{1F47C421-8361-41C4-A4F9-E675D12EC07F}" name="フィードバック - テレワーク方式の選択において、「業務データを端末に残さない」ことを重視する場合に適切な方式はどれか。" dataDxfId="85"/>
    <tableColumn id="111" xr3:uid="{B6820693-3E7D-4CAF-9C48-86E7C979D29C}" name="点数 - テレワーク方式の選択において、「業務データを端末に残さない」ことを重視する場合に適切な方式はどれか。" dataDxfId="84"/>
    <tableColumn id="112" xr3:uid="{E01F1586-CA8A-424A-9B25-6C9F41C3B2D8}" name="社内データを端末にダウンロードして作業を行うテレワーク方式における最大のリスクはどれか。" dataDxfId="83"/>
    <tableColumn id="113" xr3:uid="{BACABACA-E43B-4DAA-B879-AF53567EB4F9}" name="フィードバック - 社内データを端末にダウンロードして作業を行うテレワーク方式における最大のリスクはどれか。" dataDxfId="82"/>
    <tableColumn id="114" xr3:uid="{E62B2C78-F7FA-4635-8A27-2FBB0D856A3C}" name="点数 - 社内データを端末にダウンロードして作業を行うテレワーク方式における最大のリスクはどれか。" dataDxfId="81"/>
    <tableColumn id="115" xr3:uid="{69C9CF75-9C16-4963-8116-536E9664A6D0}" name="VPNを利用した通信経路で暗号化されていない場合に懸念されるリスクはどれか。" dataDxfId="80"/>
    <tableColumn id="116" xr3:uid="{85100463-F925-437E-988D-4B76361F1833}" name="フィードバック - VPNを利用した通信経路で暗号化されていない場合に懸念されるリスクはどれか。" dataDxfId="79"/>
    <tableColumn id="117" xr3:uid="{78A43AE4-6553-4412-8194-E8B9148E0354}" name="点数 - VPNを利用した通信経路で暗号化されていない場合に懸念されるリスクはどれか。" dataDxfId="78"/>
    <tableColumn id="118" xr3:uid="{50B7B8B7-E597-4E8C-9A77-D55E988AD4C8}" name="社外でテレワークを行う従業員に対して最低限実施すべき対策はどれか。" dataDxfId="77"/>
    <tableColumn id="119" xr3:uid="{E820326B-0CED-4253-84E2-79E907C6F1FC}" name="フィードバック - 社外でテレワークを行う従業員に対して最低限実施すべき対策はどれか。" dataDxfId="76"/>
    <tableColumn id="120" xr3:uid="{22F07CAD-AB07-4E14-8EEA-931B9D8E95AA}" name="点数 - 社外でテレワークを行う従業員に対して最低限実施すべき対策はどれか。" dataDxfId="75"/>
    <tableColumn id="121" xr3:uid="{F23DFB83-AF43-4171-9974-07B05465691D}" name="自宅以外でのテレワーク環境における物理的なセキュリティ対策として適切なものはどれか。" dataDxfId="74"/>
    <tableColumn id="122" xr3:uid="{F9B2FC25-A0CD-4C26-B14A-F95B09A2DFAC}" name="フィードバック - 自宅以外でのテレワーク環境における物理的なセキュリティ対策として適切なものはどれか。" dataDxfId="73"/>
    <tableColumn id="123" xr3:uid="{4D0AA7F5-BC16-4D02-BF07-3CFF084EEC1E}" name="点数 - 自宅以外でのテレワーク環境における物理的なセキュリティ対策として適切なものはどれか。" dataDxfId="72"/>
    <tableColumn id="124" xr3:uid="{FFB5E4E6-96FC-4E90-8DFF-BB968A068E83}" name="ゼロトラストという考え方が注目されるようになった背景として最も適切なのはどれか。" dataDxfId="71"/>
    <tableColumn id="125" xr3:uid="{B783C5B8-E1EA-4E57-9052-CA4061869E43}" name="フィードバック - ゼロトラストという考え方が注目されるようになった背景として最も適切なのはどれか。" dataDxfId="70"/>
    <tableColumn id="126" xr3:uid="{32940CC0-3B3A-4F20-83DD-DB974D13A6A9}" name="点数 - ゼロトラストという考え方が注目されるようになった背景として最も適切なのはどれか。" dataDxfId="69"/>
    <tableColumn id="127" xr3:uid="{49DFE73D-525F-4D9E-B180-491EFE029561}" name="従来型の「境界防御モデル」における根本的なセキュリティ上の課題はどれか。" dataDxfId="68"/>
    <tableColumn id="128" xr3:uid="{32C03124-0511-430B-8351-9564B9D80A60}" name="フィードバック - 従来型の「境界防御モデル」における根本的なセキュリティ上の課題はどれか。" dataDxfId="67"/>
    <tableColumn id="129" xr3:uid="{EF52F241-8807-47D2-B3D2-83CB87C0DB80}" name="点数 - 従来型の「境界防御モデル」における根本的なセキュリティ上の課題はどれか。" dataDxfId="66"/>
    <tableColumn id="130" xr3:uid="{0BBB006E-E8C5-4CE8-A23B-BC9D85027DF0}" name="ゼロトラストと従来の境界防御との最も本質的な違いはどれか。" dataDxfId="65"/>
    <tableColumn id="131" xr3:uid="{F1014DE5-8A55-47E9-A2B5-4A2116EDFC95}" name="フィードバック - ゼロトラストと従来の境界防御との最も本質的な違いはどれか。" dataDxfId="64"/>
    <tableColumn id="132" xr3:uid="{55C98545-BD32-4520-A4CB-ECF2A15A8EC2}" name="点数 - ゼロトラストと従来の境界防御との最も本質的な違いはどれか。" dataDxfId="63"/>
    <tableColumn id="133" xr3:uid="{BE8E971B-7F0D-4E75-BF8B-7B9956D2AD27}" name="ゼロトラストにおける設計指針として最も適切なものはどれか。" dataDxfId="62"/>
    <tableColumn id="134" xr3:uid="{CB5A56D5-C4E8-4C44-B582-8D1729F33B98}" name="フィードバック - ゼロトラストにおける設計指針として最も適切なものはどれか。" dataDxfId="61"/>
    <tableColumn id="135" xr3:uid="{FA4DCDB0-6EF3-45A3-9E4F-10520119E5BF}" name="点数 - ゼロトラストにおける設計指針として最も適切なものはどれか。" dataDxfId="60"/>
    <tableColumn id="136" xr3:uid="{FECDEA71-E7B2-483C-9AD5-758C827F24DD}" name="サイバーハイジーン（衛生管理）という概念の主な目的はどれか。" dataDxfId="59"/>
    <tableColumn id="137" xr3:uid="{CE6F76E1-074D-400B-880D-6479D8B0C1B7}" name="フィードバック - サイバーハイジーン（衛生管理）という概念の主な目的はどれか。" dataDxfId="58"/>
    <tableColumn id="138" xr3:uid="{A6524696-2C96-4A7B-BB22-BB4924A29210}" name="点数 - サイバーハイジーン（衛生管理）という概念の主な目的はどれか。" dataDxfId="57"/>
    <tableColumn id="139" xr3:uid="{CE1BE804-B179-489A-B05E-DDEB8D4F315E}" name="ゼロトラストにおける「動的ポリシー制御」の特徴として最も適切なのはどれか。" dataDxfId="56"/>
    <tableColumn id="140" xr3:uid="{96AAE95A-FDCF-43F9-86F0-4858798DD0CF}" name="フィードバック - ゼロトラストにおける「動的ポリシー制御」の特徴として最も適切なのはどれか。" dataDxfId="55"/>
    <tableColumn id="141" xr3:uid="{B9C2E095-261B-415D-9D71-A6BC1D072B11}" name="点数 - ゼロトラストにおける「動的ポリシー制御」の特徴として最も適切なのはどれか。" dataDxfId="54"/>
    <tableColumn id="142" xr3:uid="{2A6B6096-2B7B-4B29-955B-EC147A7DBFAD}" name="アクセス権限を動的に見直すべきタイミングとして、最も適切なものはどれか。" dataDxfId="53"/>
    <tableColumn id="143" xr3:uid="{EE5F8481-1655-454C-AE5E-7433BC370763}" name="フィードバック - アクセス権限を動的に見直すべきタイミングとして、最も適切なものはどれか。" dataDxfId="52"/>
    <tableColumn id="144" xr3:uid="{FDD5FFB1-26C9-440F-9260-7189AB8C5FE7}" name="点数 - アクセス権限を動的に見直すべきタイミングとして、最も適切なものはどれか。" dataDxfId="51"/>
    <tableColumn id="145" xr3:uid="{659AE1E1-D5E9-477E-9EF6-FD881BADE48C}" name="ゼロトラスト導入時に「ポリシーが肥大化する」ことで発生するリスクとして最も適切なのはどれか。" dataDxfId="50"/>
    <tableColumn id="146" xr3:uid="{D42150D0-799E-4D02-80CF-D4406C2380E0}" name="フィードバック - ゼロトラスト導入時に「ポリシーが肥大化する」ことで発生するリスクとして最も適切なのはどれか。" dataDxfId="49"/>
    <tableColumn id="147" xr3:uid="{F236E731-94E7-49F1-BE45-08962EE08C5E}" name="点数 - ゼロトラスト導入時に「ポリシーが肥大化する」ことで発生するリスクとして最も適切なのはどれか。" dataDxfId="48"/>
    <tableColumn id="148" xr3:uid="{EB47C65B-F58E-4D96-A3B9-94CBB6831D82}" name="ゼロトラストを導入する際の計画段階で、最初に実施すべきこととして適切なのはどれか。" dataDxfId="47"/>
    <tableColumn id="149" xr3:uid="{3E5FF01E-7953-4012-BFC5-B3AEE5D8DBD6}" name="フィードバック - ゼロトラストを導入する際の計画段階で、最初に実施すべきこととして適切なのはどれか。" dataDxfId="46"/>
    <tableColumn id="150" xr3:uid="{A7ABD0A5-A9BF-4CCD-8531-1CEEF5485ACD}" name="点数 - ゼロトラストを導入する際の計画段階で、最初に実施すべきこととして適切なのはどれか。" dataDxfId="45"/>
    <tableColumn id="151" xr3:uid="{396B0921-E3A8-4EB2-9D07-432F1F9AEB24}" name="ゼロトラストを成功させるための進め方として、最も適切なのはどれか。" dataDxfId="44"/>
    <tableColumn id="152" xr3:uid="{01BE7468-9AFA-418F-966C-438E1D3B1656}" name="フィードバック - ゼロトラストを成功させるための進め方として、最も適切なのはどれか。" dataDxfId="43"/>
    <tableColumn id="153" xr3:uid="{ED3BF538-2959-4E5A-83A6-6F82BED662A0}" name="点数 - ゼロトラストを成功させるための進め方として、最も適切なのはどれか。" dataDxfId="42"/>
    <tableColumn id="154" xr3:uid="{FB8B3ACE-C5CD-4F4C-B6D2-F5A55E07D829}" name="ゼロトラストの考え方に沿ってセキュリティの設計方針を見直す際、適切な方向性はどれか。" dataDxfId="41"/>
    <tableColumn id="155" xr3:uid="{063E0AD3-C215-42AE-B4BC-6C40C49D5706}" name="フィードバック - ゼロトラストの考え方に沿ってセキュリティの設計方針を見直す際、適切な方向性はどれか。" dataDxfId="40"/>
    <tableColumn id="156" xr3:uid="{2BD6C364-6A38-4000-958A-25482A04D4D1}" name="点数 - ゼロトラストの考え方に沿ってセキュリティの設計方針を見直す際、適切な方向性はどれか。" dataDxfId="39"/>
    <tableColumn id="157" xr3:uid="{DA641D3B-89E8-4D02-9432-F911C283507C}" name="テレワークの拡大を契機にゼロトラストを導入した企業で得られた代表的な成果として、適切なのはどれか。" dataDxfId="38"/>
    <tableColumn id="158" xr3:uid="{D0ADC5FB-5F59-4394-8584-3780BEB7BF9D}" name="フィードバック - テレワークの拡大を契機にゼロトラストを導入した企業で得られた代表的な成果として、適切なのはどれか。" dataDxfId="37"/>
    <tableColumn id="159" xr3:uid="{29D2BE65-8BEC-4FCA-8DD9-608E7335F242}" name="点数 - テレワークの拡大を契機にゼロトラストを導入した企業で得られた代表的な成果として、適切なのはどれか。" dataDxfId="36"/>
    <tableColumn id="160" xr3:uid="{ACB6E71E-FBBB-43C7-8CE1-D32528B62A66}" name="クラウドサービスの利点として適切なものはどれか。" dataDxfId="35"/>
    <tableColumn id="161" xr3:uid="{446D146E-0ABF-420E-96B1-A72D07614B42}" name="フィードバック - クラウドサービスの利点として適切なものはどれか。" dataDxfId="34"/>
    <tableColumn id="162" xr3:uid="{A9AA07F9-D6B4-4EE4-A0B8-16D04FDB360D}" name="点数 - クラウドサービスの利点として適切なものはどれか。" dataDxfId="33"/>
    <tableColumn id="163" xr3:uid="{0072A6F0-41B6-4E68-97F4-F98408E27D56}" name="クラウド利用時の責任共有モデルで「利用者側の責任」とされるものはどれか。" dataDxfId="32"/>
    <tableColumn id="164" xr3:uid="{72B315EA-9A98-4B78-BFF2-A7C46C24A390}" name="フィードバック - クラウド利用時の責任共有モデルで「利用者側の責任」とされるものはどれか。" dataDxfId="31"/>
    <tableColumn id="165" xr3:uid="{F8F7564E-2760-4607-B84F-6DB9745A97A7}" name="点数 - クラウド利用時の責任共有モデルで「利用者側の責任」とされるものはどれか。" dataDxfId="30"/>
    <tableColumn id="166" xr3:uid="{FF5DDB3E-7D11-48C8-8963-F4D01663C2AC}" name="SaaSに分類されるサービスの特徴として最も適切なのはどれか。" dataDxfId="29"/>
    <tableColumn id="167" xr3:uid="{575EE3E6-47D9-482E-8849-58EB989E7FBD}" name="フィードバック - SaaSに分類されるサービスの特徴として最も適切なのはどれか。" dataDxfId="28"/>
    <tableColumn id="168" xr3:uid="{46689A85-1A1E-4EEA-883A-897EEA27E270}" name="点数 - SaaSに分類されるサービスの特徴として最も適切なのはどれか。" dataDxfId="27"/>
    <tableColumn id="169" xr3:uid="{89371821-CA48-4B00-AD21-E02E05EAB82E}" name="IaaSの導入を検討する場面として適切なのはどれか。" dataDxfId="26"/>
    <tableColumn id="170" xr3:uid="{1C025BFE-469D-41CF-B799-4BDE684C3861}" name="フィードバック - IaaSの導入を検討する場面として適切なのはどれか。" dataDxfId="25"/>
    <tableColumn id="171" xr3:uid="{C7A068ED-0247-44CB-91AB-DF0E15453BFC}" name="点数 - IaaSの導入を検討する場面として適切なのはどれか。" dataDxfId="24"/>
    <tableColumn id="172" xr3:uid="{8DAD4584-47AB-4C1E-928F-3E760360B1CE}" name="クラウド利用におけるセキュリティリスクとして最も適切なのはどれか。" dataDxfId="23"/>
    <tableColumn id="173" xr3:uid="{5EA2872E-B4E1-4AF7-8E80-D41AD3D0A340}" name="フィードバック - クラウド利用におけるセキュリティリスクとして最も適切なのはどれか。" dataDxfId="22"/>
    <tableColumn id="174" xr3:uid="{387A65BF-073A-4F2A-B8A8-0E5CAAF129AA}" name="点数 - クラウド利用におけるセキュリティリスクとして最も適切なのはどれか。" dataDxfId="21"/>
    <tableColumn id="175" xr3:uid="{1E5E3CFA-DF1C-4C6D-9B06-7D5254367B55}" name="クラウドストレージを業務で利用する際に、情報漏えいリスクの観点から最も注意すべき点はどれか。" dataDxfId="20"/>
    <tableColumn id="176" xr3:uid="{A36111DC-ED6A-4B25-B220-2C85EF3A1D7E}" name="フィードバック - クラウドストレージを業務で利用する際に、情報漏えいリスクの観点から最も注意すべき点はどれか。" dataDxfId="19"/>
    <tableColumn id="177" xr3:uid="{3563EC7D-134C-4EFA-8F6E-0391763EF343}" name="点数 - クラウドストレージを業務で利用する際に、情報漏えいリスクの観点から最も注意すべき点はどれか。" dataDxfId="18"/>
    <tableColumn id="178" xr3:uid="{68E5EADD-4F1E-47D6-ACF2-02363C96A480}" name="クラウドサービスを比較・選定する際に、特に重視すべき観点はどれか。" dataDxfId="17"/>
    <tableColumn id="179" xr3:uid="{07B1D130-858D-460B-BB27-9D7332681487}" name="フィードバック - クラウドサービスを比較・選定する際に、特に重視すべき観点はどれか。" dataDxfId="16"/>
    <tableColumn id="180" xr3:uid="{FD7F155B-5614-481B-8CB6-26DFB6D834A0}" name="点数 - クラウドサービスを比較・選定する際に、特に重視すべき観点はどれか。" dataDxfId="15"/>
    <tableColumn id="181" xr3:uid="{6531CDA5-E7D3-4694-B459-A3842080FDFB}" name="クラウドサービス導入後の運用で、安定運用や改善のために重要な取り組みはどれか。" dataDxfId="14"/>
    <tableColumn id="182" xr3:uid="{550B4C46-CEE9-4DF5-ABE5-D0CFB2EB8174}" name="フィードバック - クラウドサービス導入後の運用で、安定運用や改善のために重要な取り組みはどれか。" dataDxfId="13"/>
    <tableColumn id="183" xr3:uid="{AA4A9888-42DF-451A-BCE8-4922DE587294}" name="点数 - クラウドサービス導入後の運用で、安定運用や改善のために重要な取り組みはどれか。" dataDxfId="12"/>
    <tableColumn id="184" xr3:uid="{2BA279E6-82B5-4175-804B-7D15E20CDDB0}" name="シャドーITがリスクとされる理由として最も適切なものはどれか。" dataDxfId="11"/>
    <tableColumn id="185" xr3:uid="{79FD94F9-94EF-4BF8-9521-D7943F71A2B5}" name="フィードバック - シャドーITがリスクとされる理由として最も適切なものはどれか。" dataDxfId="10"/>
    <tableColumn id="186" xr3:uid="{74FF108A-B266-4A2D-9B62-87DC2EA07AA7}" name="点数 - シャドーITがリスクとされる理由として最も適切なものはどれか。" dataDxfId="9"/>
    <tableColumn id="187" xr3:uid="{17C43A53-F808-4CC4-81B0-F5D9589126DA}" name="クラウドサービス契約時に確認すべきSLA（サービスレベル合意）の項目として最も適切なものはどれか。" dataDxfId="8"/>
    <tableColumn id="188" xr3:uid="{2700A402-2509-4E4E-88D3-498C71BD28C0}" name="フィードバック - クラウドサービス契約時に確認すべきSLA（サービスレベル合意）の項目として最も適切なものはどれか。" dataDxfId="7"/>
    <tableColumn id="189" xr3:uid="{CCEDA28B-1A0E-4A4A-97C8-76B2A22C41B7}" name="点数 - クラウドサービス契約時に確認すべきSLA（サービスレベル合意）の項目として最も適切なものはどれか。" dataDxfId="6"/>
    <tableColumn id="190" xr3:uid="{49C48ECB-8945-41D6-84BC-3D10454EFAA5}" name="クラウドにおけるデータ保存場所の取り扱いとして正しいものはどれか。" dataDxfId="5"/>
    <tableColumn id="191" xr3:uid="{0B51796F-0BB8-4318-A57E-784B906B8F30}" name="フィードバック - クラウドにおけるデータ保存場所の取り扱いとして正しいものはどれか。" dataDxfId="4"/>
    <tableColumn id="192" xr3:uid="{CCD8C23D-5EAB-4CED-AFD6-505AEB4440E7}" name="点数 - クラウドにおけるデータ保存場所の取り扱いとして正しいものはどれか。" dataDxfId="3"/>
    <tableColumn id="193" xr3:uid="{AAB821A2-FE94-46E6-8E5A-0D7C3F491B6C}" name="CSPM（Cloud Security Posture Management）ツールの主な役割として最も適切なのはどれか。" dataDxfId="2"/>
    <tableColumn id="194" xr3:uid="{B5DA1B47-D49F-42BB-B2DB-559166289DB8}" name="フィードバック - CSPM（Cloud Security Posture Management）ツールの主な役割として最も適切なのはどれか。" dataDxfId="1"/>
    <tableColumn id="195" xr3:uid="{E0BC8101-C2F1-4E78-B5EE-D9C0E287B4B5}" name="点数 - CSPM（Cloud Security Posture Management）ツールの主な役割として最も適切なのはどれか。"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993F4-5B92-4F8E-B443-2DDAB574DA61}">
  <sheetPr codeName="Sheet3"/>
  <dimension ref="A1:GM54"/>
  <sheetViews>
    <sheetView tabSelected="1" workbookViewId="0">
      <selection activeCell="D8" sqref="D8"/>
    </sheetView>
  </sheetViews>
  <sheetFormatPr defaultRowHeight="15"/>
  <cols>
    <col min="1" max="195" width="33.140625" customWidth="1"/>
  </cols>
  <sheetData>
    <row r="1" spans="1:195">
      <c r="A1" s="63" t="s">
        <v>0</v>
      </c>
      <c r="B1" s="64" t="s">
        <v>1</v>
      </c>
      <c r="C1" s="64" t="s">
        <v>2</v>
      </c>
      <c r="D1" s="64" t="s">
        <v>3</v>
      </c>
      <c r="E1" s="64" t="s">
        <v>4</v>
      </c>
      <c r="F1" s="64" t="s">
        <v>5</v>
      </c>
      <c r="G1" s="64" t="s">
        <v>6</v>
      </c>
      <c r="H1" s="64" t="s">
        <v>7</v>
      </c>
      <c r="I1" s="64" t="s">
        <v>8</v>
      </c>
      <c r="J1" s="64" t="s">
        <v>9</v>
      </c>
      <c r="K1" s="64" t="s">
        <v>10</v>
      </c>
      <c r="L1" s="64" t="s">
        <v>11</v>
      </c>
      <c r="M1" s="64" t="s">
        <v>12</v>
      </c>
      <c r="N1" s="64" t="s">
        <v>13</v>
      </c>
      <c r="O1" s="64" t="s">
        <v>14</v>
      </c>
      <c r="P1" s="64" t="s">
        <v>15</v>
      </c>
      <c r="Q1" s="64" t="s">
        <v>16</v>
      </c>
      <c r="R1" s="64" t="s">
        <v>17</v>
      </c>
      <c r="S1" s="64" t="s">
        <v>18</v>
      </c>
      <c r="T1" s="64" t="s">
        <v>19</v>
      </c>
      <c r="U1" s="64" t="s">
        <v>20</v>
      </c>
      <c r="V1" s="64" t="s">
        <v>21</v>
      </c>
      <c r="W1" s="64" t="s">
        <v>22</v>
      </c>
      <c r="X1" s="64" t="s">
        <v>23</v>
      </c>
      <c r="Y1" s="64" t="s">
        <v>24</v>
      </c>
      <c r="Z1" s="64" t="s">
        <v>25</v>
      </c>
      <c r="AA1" s="64" t="s">
        <v>26</v>
      </c>
      <c r="AB1" s="64" t="s">
        <v>27</v>
      </c>
      <c r="AC1" s="64" t="s">
        <v>28</v>
      </c>
      <c r="AD1" s="64" t="s">
        <v>29</v>
      </c>
      <c r="AE1" s="64" t="s">
        <v>30</v>
      </c>
      <c r="AF1" s="64" t="s">
        <v>31</v>
      </c>
      <c r="AG1" s="64" t="s">
        <v>32</v>
      </c>
      <c r="AH1" s="64" t="s">
        <v>33</v>
      </c>
      <c r="AI1" s="64" t="s">
        <v>34</v>
      </c>
      <c r="AJ1" s="64" t="s">
        <v>35</v>
      </c>
      <c r="AK1" s="64" t="s">
        <v>36</v>
      </c>
      <c r="AL1" s="64" t="s">
        <v>37</v>
      </c>
      <c r="AM1" s="64" t="s">
        <v>38</v>
      </c>
      <c r="AN1" s="64" t="s">
        <v>39</v>
      </c>
      <c r="AO1" s="64" t="s">
        <v>40</v>
      </c>
      <c r="AP1" s="64" t="s">
        <v>41</v>
      </c>
      <c r="AQ1" s="64" t="s">
        <v>42</v>
      </c>
      <c r="AR1" s="64" t="s">
        <v>43</v>
      </c>
      <c r="AS1" s="64" t="s">
        <v>44</v>
      </c>
      <c r="AT1" s="64" t="s">
        <v>45</v>
      </c>
      <c r="AU1" s="64" t="s">
        <v>46</v>
      </c>
      <c r="AV1" s="64" t="s">
        <v>47</v>
      </c>
      <c r="AW1" s="64" t="s">
        <v>48</v>
      </c>
      <c r="AX1" s="64" t="s">
        <v>49</v>
      </c>
      <c r="AY1" s="64" t="s">
        <v>50</v>
      </c>
      <c r="AZ1" s="64" t="s">
        <v>51</v>
      </c>
      <c r="BA1" s="64" t="s">
        <v>52</v>
      </c>
      <c r="BB1" s="64" t="s">
        <v>53</v>
      </c>
      <c r="BC1" s="64" t="s">
        <v>54</v>
      </c>
      <c r="BD1" s="64" t="s">
        <v>55</v>
      </c>
      <c r="BE1" s="64" t="s">
        <v>56</v>
      </c>
      <c r="BF1" s="64" t="s">
        <v>57</v>
      </c>
      <c r="BG1" s="64" t="s">
        <v>58</v>
      </c>
      <c r="BH1" s="64" t="s">
        <v>59</v>
      </c>
      <c r="BI1" s="64" t="s">
        <v>60</v>
      </c>
      <c r="BJ1" s="64" t="s">
        <v>61</v>
      </c>
      <c r="BK1" s="64" t="s">
        <v>62</v>
      </c>
      <c r="BL1" s="64" t="s">
        <v>63</v>
      </c>
      <c r="BM1" s="64" t="s">
        <v>64</v>
      </c>
      <c r="BN1" s="64" t="s">
        <v>65</v>
      </c>
      <c r="BO1" s="64" t="s">
        <v>66</v>
      </c>
      <c r="BP1" s="64" t="s">
        <v>67</v>
      </c>
      <c r="BQ1" s="64" t="s">
        <v>68</v>
      </c>
      <c r="BR1" s="64" t="s">
        <v>69</v>
      </c>
      <c r="BS1" s="64" t="s">
        <v>70</v>
      </c>
      <c r="BT1" s="64" t="s">
        <v>71</v>
      </c>
      <c r="BU1" s="64" t="s">
        <v>72</v>
      </c>
      <c r="BV1" s="64" t="s">
        <v>73</v>
      </c>
      <c r="BW1" s="64" t="s">
        <v>74</v>
      </c>
      <c r="BX1" s="64" t="s">
        <v>75</v>
      </c>
      <c r="BY1" s="64" t="s">
        <v>76</v>
      </c>
      <c r="BZ1" s="64" t="s">
        <v>77</v>
      </c>
      <c r="CA1" s="64" t="s">
        <v>78</v>
      </c>
      <c r="CB1" s="64" t="s">
        <v>79</v>
      </c>
      <c r="CC1" s="64" t="s">
        <v>80</v>
      </c>
      <c r="CD1" s="64" t="s">
        <v>81</v>
      </c>
      <c r="CE1" s="64" t="s">
        <v>82</v>
      </c>
      <c r="CF1" s="64" t="s">
        <v>83</v>
      </c>
      <c r="CG1" s="64" t="s">
        <v>84</v>
      </c>
      <c r="CH1" s="64" t="s">
        <v>85</v>
      </c>
      <c r="CI1" s="64" t="s">
        <v>86</v>
      </c>
      <c r="CJ1" s="64" t="s">
        <v>87</v>
      </c>
      <c r="CK1" s="64" t="s">
        <v>88</v>
      </c>
      <c r="CL1" s="64" t="s">
        <v>89</v>
      </c>
      <c r="CM1" s="64" t="s">
        <v>90</v>
      </c>
      <c r="CN1" s="64" t="s">
        <v>91</v>
      </c>
      <c r="CO1" s="64" t="s">
        <v>92</v>
      </c>
      <c r="CP1" s="64" t="s">
        <v>93</v>
      </c>
      <c r="CQ1" s="64" t="s">
        <v>94</v>
      </c>
      <c r="CR1" s="64" t="s">
        <v>95</v>
      </c>
      <c r="CS1" s="64" t="s">
        <v>96</v>
      </c>
      <c r="CT1" s="64" t="s">
        <v>97</v>
      </c>
      <c r="CU1" s="64" t="s">
        <v>98</v>
      </c>
      <c r="CV1" s="64" t="s">
        <v>99</v>
      </c>
      <c r="CW1" s="64" t="s">
        <v>100</v>
      </c>
      <c r="CX1" s="64" t="s">
        <v>101</v>
      </c>
      <c r="CY1" s="64" t="s">
        <v>102</v>
      </c>
      <c r="CZ1" s="64" t="s">
        <v>103</v>
      </c>
      <c r="DA1" s="64" t="s">
        <v>104</v>
      </c>
      <c r="DB1" s="64" t="s">
        <v>105</v>
      </c>
      <c r="DC1" s="64" t="s">
        <v>106</v>
      </c>
      <c r="DD1" s="64" t="s">
        <v>107</v>
      </c>
      <c r="DE1" s="64" t="s">
        <v>108</v>
      </c>
      <c r="DF1" s="64" t="s">
        <v>109</v>
      </c>
      <c r="DG1" s="64" t="s">
        <v>110</v>
      </c>
      <c r="DH1" s="64" t="s">
        <v>111</v>
      </c>
      <c r="DI1" s="64" t="s">
        <v>112</v>
      </c>
      <c r="DJ1" s="64" t="s">
        <v>113</v>
      </c>
      <c r="DK1" s="64" t="s">
        <v>114</v>
      </c>
      <c r="DL1" s="64" t="s">
        <v>115</v>
      </c>
      <c r="DM1" s="64" t="s">
        <v>116</v>
      </c>
      <c r="DN1" s="64" t="s">
        <v>117</v>
      </c>
      <c r="DO1" s="64" t="s">
        <v>118</v>
      </c>
      <c r="DP1" s="64" t="s">
        <v>119</v>
      </c>
      <c r="DQ1" s="64" t="s">
        <v>120</v>
      </c>
      <c r="DR1" s="64" t="s">
        <v>121</v>
      </c>
      <c r="DS1" s="64" t="s">
        <v>122</v>
      </c>
      <c r="DT1" s="64" t="s">
        <v>123</v>
      </c>
      <c r="DU1" s="64" t="s">
        <v>124</v>
      </c>
      <c r="DV1" s="64" t="s">
        <v>125</v>
      </c>
      <c r="DW1" s="64" t="s">
        <v>126</v>
      </c>
      <c r="DX1" s="64" t="s">
        <v>127</v>
      </c>
      <c r="DY1" s="64" t="s">
        <v>128</v>
      </c>
      <c r="DZ1" s="64" t="s">
        <v>129</v>
      </c>
      <c r="EA1" s="64" t="s">
        <v>130</v>
      </c>
      <c r="EB1" s="64" t="s">
        <v>131</v>
      </c>
      <c r="EC1" s="64" t="s">
        <v>132</v>
      </c>
      <c r="ED1" s="64" t="s">
        <v>133</v>
      </c>
      <c r="EE1" s="64" t="s">
        <v>134</v>
      </c>
      <c r="EF1" s="64" t="s">
        <v>135</v>
      </c>
      <c r="EG1" s="64" t="s">
        <v>136</v>
      </c>
      <c r="EH1" s="64" t="s">
        <v>137</v>
      </c>
      <c r="EI1" s="64" t="s">
        <v>138</v>
      </c>
      <c r="EJ1" s="64" t="s">
        <v>139</v>
      </c>
      <c r="EK1" s="64" t="s">
        <v>140</v>
      </c>
      <c r="EL1" s="64" t="s">
        <v>141</v>
      </c>
      <c r="EM1" s="64" t="s">
        <v>142</v>
      </c>
      <c r="EN1" s="64" t="s">
        <v>143</v>
      </c>
      <c r="EO1" s="64" t="s">
        <v>144</v>
      </c>
      <c r="EP1" s="64" t="s">
        <v>145</v>
      </c>
      <c r="EQ1" s="64" t="s">
        <v>146</v>
      </c>
      <c r="ER1" s="64" t="s">
        <v>147</v>
      </c>
      <c r="ES1" s="64" t="s">
        <v>148</v>
      </c>
      <c r="ET1" s="64" t="s">
        <v>149</v>
      </c>
      <c r="EU1" s="64" t="s">
        <v>150</v>
      </c>
      <c r="EV1" s="64" t="s">
        <v>151</v>
      </c>
      <c r="EW1" s="64" t="s">
        <v>152</v>
      </c>
      <c r="EX1" s="64" t="s">
        <v>153</v>
      </c>
      <c r="EY1" s="64" t="s">
        <v>154</v>
      </c>
      <c r="EZ1" s="64" t="s">
        <v>155</v>
      </c>
      <c r="FA1" s="64" t="s">
        <v>156</v>
      </c>
      <c r="FB1" s="64" t="s">
        <v>157</v>
      </c>
      <c r="FC1" s="64" t="s">
        <v>158</v>
      </c>
      <c r="FD1" s="64" t="s">
        <v>159</v>
      </c>
      <c r="FE1" s="64" t="s">
        <v>160</v>
      </c>
      <c r="FF1" s="64" t="s">
        <v>161</v>
      </c>
      <c r="FG1" s="64" t="s">
        <v>162</v>
      </c>
      <c r="FH1" s="64" t="s">
        <v>163</v>
      </c>
      <c r="FI1" s="64" t="s">
        <v>164</v>
      </c>
      <c r="FJ1" s="64" t="s">
        <v>165</v>
      </c>
      <c r="FK1" s="64" t="s">
        <v>166</v>
      </c>
      <c r="FL1" s="64" t="s">
        <v>167</v>
      </c>
      <c r="FM1" s="64" t="s">
        <v>168</v>
      </c>
      <c r="FN1" s="64" t="s">
        <v>169</v>
      </c>
      <c r="FO1" s="64" t="s">
        <v>170</v>
      </c>
      <c r="FP1" s="64" t="s">
        <v>171</v>
      </c>
      <c r="FQ1" s="64" t="s">
        <v>172</v>
      </c>
      <c r="FR1" s="64" t="s">
        <v>173</v>
      </c>
      <c r="FS1" s="64" t="s">
        <v>174</v>
      </c>
      <c r="FT1" s="64" t="s">
        <v>175</v>
      </c>
      <c r="FU1" s="64" t="s">
        <v>176</v>
      </c>
      <c r="FV1" s="64" t="s">
        <v>177</v>
      </c>
      <c r="FW1" s="64" t="s">
        <v>178</v>
      </c>
      <c r="FX1" s="64" t="s">
        <v>179</v>
      </c>
      <c r="FY1" s="64" t="s">
        <v>180</v>
      </c>
      <c r="FZ1" s="64" t="s">
        <v>181</v>
      </c>
      <c r="GA1" s="64" t="s">
        <v>182</v>
      </c>
      <c r="GB1" s="64" t="s">
        <v>183</v>
      </c>
      <c r="GC1" s="64" t="s">
        <v>184</v>
      </c>
      <c r="GD1" s="64" t="s">
        <v>185</v>
      </c>
      <c r="GE1" s="64" t="s">
        <v>186</v>
      </c>
      <c r="GF1" s="64" t="s">
        <v>187</v>
      </c>
      <c r="GG1" s="64" t="s">
        <v>188</v>
      </c>
      <c r="GH1" s="64" t="s">
        <v>189</v>
      </c>
      <c r="GI1" s="64" t="s">
        <v>190</v>
      </c>
      <c r="GJ1" s="64" t="s">
        <v>191</v>
      </c>
      <c r="GK1" s="64" t="s">
        <v>192</v>
      </c>
      <c r="GL1" s="64" t="s">
        <v>193</v>
      </c>
      <c r="GM1" s="64" t="s">
        <v>194</v>
      </c>
    </row>
    <row r="2" spans="1:195">
      <c r="A2" s="62">
        <v>1</v>
      </c>
      <c r="B2" s="61" t="s">
        <v>195</v>
      </c>
      <c r="C2" s="61" t="s">
        <v>196</v>
      </c>
      <c r="D2" s="61" t="s">
        <v>197</v>
      </c>
      <c r="E2" s="61"/>
      <c r="F2" s="61">
        <v>55</v>
      </c>
      <c r="G2" s="61"/>
      <c r="H2" s="61"/>
      <c r="I2" s="61"/>
      <c r="J2" s="61"/>
      <c r="K2" s="61"/>
      <c r="L2" s="65" t="s">
        <v>579</v>
      </c>
      <c r="M2" s="61" t="s">
        <v>580</v>
      </c>
      <c r="N2" s="61"/>
      <c r="O2" s="61"/>
      <c r="P2" s="61" t="s">
        <v>198</v>
      </c>
      <c r="Q2" s="61">
        <v>0</v>
      </c>
      <c r="R2" s="61"/>
      <c r="S2" s="61" t="s">
        <v>199</v>
      </c>
      <c r="T2" s="61">
        <v>1</v>
      </c>
      <c r="U2" s="61"/>
      <c r="V2" s="61" t="s">
        <v>200</v>
      </c>
      <c r="W2" s="61">
        <v>1</v>
      </c>
      <c r="X2" s="61"/>
      <c r="Y2" s="61" t="s">
        <v>201</v>
      </c>
      <c r="Z2" s="61">
        <v>0</v>
      </c>
      <c r="AA2" s="61"/>
      <c r="AB2" s="61" t="s">
        <v>202</v>
      </c>
      <c r="AC2" s="61"/>
      <c r="AD2" s="61">
        <v>0</v>
      </c>
      <c r="AE2" s="61" t="s">
        <v>203</v>
      </c>
      <c r="AF2" s="61"/>
      <c r="AG2" s="61">
        <v>1</v>
      </c>
      <c r="AH2" s="61" t="s">
        <v>204</v>
      </c>
      <c r="AI2" s="61"/>
      <c r="AJ2" s="61">
        <v>1</v>
      </c>
      <c r="AK2" s="61" t="s">
        <v>205</v>
      </c>
      <c r="AL2" s="61"/>
      <c r="AM2" s="61">
        <v>1</v>
      </c>
      <c r="AN2" s="61" t="s">
        <v>206</v>
      </c>
      <c r="AO2" s="61"/>
      <c r="AP2" s="61">
        <v>1</v>
      </c>
      <c r="AQ2" s="61" t="s">
        <v>207</v>
      </c>
      <c r="AR2" s="61"/>
      <c r="AS2" s="61">
        <v>1</v>
      </c>
      <c r="AT2" s="61" t="s">
        <v>208</v>
      </c>
      <c r="AU2" s="61"/>
      <c r="AV2" s="61">
        <v>1</v>
      </c>
      <c r="AW2" s="61" t="s">
        <v>209</v>
      </c>
      <c r="AX2" s="61"/>
      <c r="AY2" s="61">
        <v>1</v>
      </c>
      <c r="AZ2" s="61" t="s">
        <v>210</v>
      </c>
      <c r="BA2" s="61"/>
      <c r="BB2" s="61">
        <v>1</v>
      </c>
      <c r="BC2" s="61" t="s">
        <v>211</v>
      </c>
      <c r="BD2" s="61"/>
      <c r="BE2" s="61">
        <v>1</v>
      </c>
      <c r="BF2" s="61" t="s">
        <v>212</v>
      </c>
      <c r="BG2" s="61"/>
      <c r="BH2" s="61">
        <v>1</v>
      </c>
      <c r="BI2" s="61" t="s">
        <v>213</v>
      </c>
      <c r="BJ2" s="61"/>
      <c r="BK2" s="61">
        <v>1</v>
      </c>
      <c r="BL2" s="61" t="s">
        <v>214</v>
      </c>
      <c r="BM2" s="61"/>
      <c r="BN2" s="61">
        <v>1</v>
      </c>
      <c r="BO2" s="61" t="s">
        <v>215</v>
      </c>
      <c r="BP2" s="61"/>
      <c r="BQ2" s="61">
        <v>1</v>
      </c>
      <c r="BR2" s="61" t="s">
        <v>216</v>
      </c>
      <c r="BS2" s="61"/>
      <c r="BT2" s="61">
        <v>1</v>
      </c>
      <c r="BU2" s="61" t="s">
        <v>217</v>
      </c>
      <c r="BV2" s="61">
        <v>1</v>
      </c>
      <c r="BW2" s="61"/>
      <c r="BX2" s="61" t="s">
        <v>218</v>
      </c>
      <c r="BY2" s="61">
        <v>1</v>
      </c>
      <c r="BZ2" s="61"/>
      <c r="CA2" s="61" t="s">
        <v>219</v>
      </c>
      <c r="CB2" s="61">
        <v>1</v>
      </c>
      <c r="CC2" s="61"/>
      <c r="CD2" s="61" t="s">
        <v>220</v>
      </c>
      <c r="CE2" s="61">
        <v>0</v>
      </c>
      <c r="CF2" s="61"/>
      <c r="CG2" s="61" t="s">
        <v>221</v>
      </c>
      <c r="CH2" s="61">
        <v>1</v>
      </c>
      <c r="CI2" s="61"/>
      <c r="CJ2" s="61" t="s">
        <v>222</v>
      </c>
      <c r="CK2" s="61"/>
      <c r="CL2" s="61">
        <v>1</v>
      </c>
      <c r="CM2" s="61" t="s">
        <v>223</v>
      </c>
      <c r="CN2" s="61"/>
      <c r="CO2" s="61">
        <v>1</v>
      </c>
      <c r="CP2" s="61" t="s">
        <v>224</v>
      </c>
      <c r="CQ2" s="61"/>
      <c r="CR2" s="61">
        <v>1</v>
      </c>
      <c r="CS2" s="61" t="s">
        <v>225</v>
      </c>
      <c r="CT2" s="61"/>
      <c r="CU2" s="61">
        <v>1</v>
      </c>
      <c r="CV2" s="61" t="s">
        <v>226</v>
      </c>
      <c r="CW2" s="61"/>
      <c r="CX2" s="61">
        <v>1</v>
      </c>
      <c r="CY2" s="61" t="s">
        <v>227</v>
      </c>
      <c r="CZ2" s="61"/>
      <c r="DA2" s="61">
        <v>1</v>
      </c>
      <c r="DB2" s="61" t="s">
        <v>228</v>
      </c>
      <c r="DC2" s="61"/>
      <c r="DD2" s="61">
        <v>1</v>
      </c>
      <c r="DE2" s="61" t="s">
        <v>229</v>
      </c>
      <c r="DF2" s="61"/>
      <c r="DG2" s="61">
        <v>1</v>
      </c>
      <c r="DH2" s="61" t="s">
        <v>230</v>
      </c>
      <c r="DI2" s="61"/>
      <c r="DJ2" s="61">
        <v>1</v>
      </c>
      <c r="DK2" s="61" t="s">
        <v>231</v>
      </c>
      <c r="DL2" s="61"/>
      <c r="DM2" s="61">
        <v>1</v>
      </c>
      <c r="DN2" s="61" t="s">
        <v>232</v>
      </c>
      <c r="DO2" s="61"/>
      <c r="DP2" s="61">
        <v>1</v>
      </c>
      <c r="DQ2" s="61" t="s">
        <v>233</v>
      </c>
      <c r="DR2" s="61"/>
      <c r="DS2" s="61">
        <v>1</v>
      </c>
      <c r="DT2" s="61" t="s">
        <v>234</v>
      </c>
      <c r="DU2" s="61"/>
      <c r="DV2" s="61">
        <v>1</v>
      </c>
      <c r="DW2" s="61" t="s">
        <v>235</v>
      </c>
      <c r="DX2" s="61"/>
      <c r="DY2" s="61">
        <v>1</v>
      </c>
      <c r="DZ2" s="61" t="s">
        <v>236</v>
      </c>
      <c r="EA2" s="61"/>
      <c r="EB2" s="61">
        <v>1</v>
      </c>
      <c r="EC2" s="61" t="s">
        <v>237</v>
      </c>
      <c r="ED2" s="61"/>
      <c r="EE2" s="61">
        <v>1</v>
      </c>
      <c r="EF2" s="61" t="s">
        <v>238</v>
      </c>
      <c r="EG2" s="61"/>
      <c r="EH2" s="61">
        <v>1</v>
      </c>
      <c r="EI2" s="61" t="s">
        <v>239</v>
      </c>
      <c r="EJ2" s="61"/>
      <c r="EK2" s="61">
        <v>1</v>
      </c>
      <c r="EL2" s="61" t="s">
        <v>240</v>
      </c>
      <c r="EM2" s="61"/>
      <c r="EN2" s="61">
        <v>1</v>
      </c>
      <c r="EO2" s="61" t="s">
        <v>241</v>
      </c>
      <c r="EP2" s="61"/>
      <c r="EQ2" s="61">
        <v>1</v>
      </c>
      <c r="ER2" s="61" t="s">
        <v>242</v>
      </c>
      <c r="ES2" s="61"/>
      <c r="ET2" s="61">
        <v>1</v>
      </c>
      <c r="EU2" s="61" t="s">
        <v>243</v>
      </c>
      <c r="EV2" s="61"/>
      <c r="EW2" s="61">
        <v>1</v>
      </c>
      <c r="EX2" s="61" t="s">
        <v>244</v>
      </c>
      <c r="EY2" s="61"/>
      <c r="EZ2" s="61">
        <v>1</v>
      </c>
      <c r="FA2" s="61" t="s">
        <v>245</v>
      </c>
      <c r="FB2" s="61"/>
      <c r="FC2" s="61">
        <v>1</v>
      </c>
      <c r="FD2" s="61" t="s">
        <v>246</v>
      </c>
      <c r="FE2" s="61"/>
      <c r="FF2" s="61">
        <v>1</v>
      </c>
      <c r="FG2" s="61" t="s">
        <v>247</v>
      </c>
      <c r="FH2" s="61"/>
      <c r="FI2" s="61">
        <v>1</v>
      </c>
      <c r="FJ2" s="61" t="s">
        <v>248</v>
      </c>
      <c r="FK2" s="61"/>
      <c r="FL2" s="61">
        <v>0</v>
      </c>
      <c r="FM2" s="61" t="s">
        <v>249</v>
      </c>
      <c r="FN2" s="61"/>
      <c r="FO2" s="61">
        <v>1</v>
      </c>
      <c r="FP2" s="61" t="s">
        <v>250</v>
      </c>
      <c r="FQ2" s="61"/>
      <c r="FR2" s="61">
        <v>1</v>
      </c>
      <c r="FS2" s="61" t="s">
        <v>251</v>
      </c>
      <c r="FT2" s="61"/>
      <c r="FU2" s="61">
        <v>1</v>
      </c>
      <c r="FV2" s="61" t="s">
        <v>252</v>
      </c>
      <c r="FW2" s="61"/>
      <c r="FX2" s="61">
        <v>1</v>
      </c>
      <c r="FY2" s="61" t="s">
        <v>253</v>
      </c>
      <c r="FZ2" s="61"/>
      <c r="GA2" s="61">
        <v>1</v>
      </c>
      <c r="GB2" s="61" t="s">
        <v>254</v>
      </c>
      <c r="GC2" s="61"/>
      <c r="GD2" s="61">
        <v>1</v>
      </c>
      <c r="GE2" s="61" t="s">
        <v>255</v>
      </c>
      <c r="GF2" s="61"/>
      <c r="GG2" s="61">
        <v>1</v>
      </c>
      <c r="GH2" s="61" t="s">
        <v>256</v>
      </c>
      <c r="GI2" s="61"/>
      <c r="GJ2" s="61">
        <v>1</v>
      </c>
      <c r="GK2" s="61" t="s">
        <v>257</v>
      </c>
      <c r="GL2" s="61"/>
      <c r="GM2" s="61">
        <v>1</v>
      </c>
    </row>
    <row r="3" spans="1:195">
      <c r="A3" s="62">
        <v>2</v>
      </c>
      <c r="B3" s="61" t="s">
        <v>258</v>
      </c>
      <c r="C3" s="61" t="s">
        <v>259</v>
      </c>
      <c r="D3" s="61" t="s">
        <v>197</v>
      </c>
      <c r="E3" s="61"/>
      <c r="F3" s="61">
        <v>34</v>
      </c>
      <c r="G3" s="61"/>
      <c r="H3" s="61"/>
      <c r="I3" s="61"/>
      <c r="J3" s="61"/>
      <c r="K3" s="61"/>
      <c r="L3" s="65" t="s">
        <v>581</v>
      </c>
      <c r="M3" s="61" t="s">
        <v>582</v>
      </c>
      <c r="N3" s="61"/>
      <c r="O3" s="61"/>
      <c r="P3" s="61" t="s">
        <v>260</v>
      </c>
      <c r="Q3" s="61">
        <v>1</v>
      </c>
      <c r="R3" s="61"/>
      <c r="S3" s="61" t="s">
        <v>199</v>
      </c>
      <c r="T3" s="61">
        <v>1</v>
      </c>
      <c r="U3" s="61"/>
      <c r="V3" s="61" t="s">
        <v>200</v>
      </c>
      <c r="W3" s="61">
        <v>1</v>
      </c>
      <c r="X3" s="61"/>
      <c r="Y3" s="61" t="s">
        <v>261</v>
      </c>
      <c r="Z3" s="61">
        <v>1</v>
      </c>
      <c r="AA3" s="61"/>
      <c r="AB3" s="61" t="s">
        <v>202</v>
      </c>
      <c r="AC3" s="61"/>
      <c r="AD3" s="61">
        <v>0</v>
      </c>
      <c r="AE3" s="61" t="s">
        <v>262</v>
      </c>
      <c r="AF3" s="61"/>
      <c r="AG3" s="61">
        <v>0</v>
      </c>
      <c r="AH3" s="61" t="s">
        <v>263</v>
      </c>
      <c r="AI3" s="61"/>
      <c r="AJ3" s="61">
        <v>0</v>
      </c>
      <c r="AK3" s="61" t="s">
        <v>264</v>
      </c>
      <c r="AL3" s="61"/>
      <c r="AM3" s="61">
        <v>0</v>
      </c>
      <c r="AN3" s="61" t="s">
        <v>206</v>
      </c>
      <c r="AO3" s="61"/>
      <c r="AP3" s="61">
        <v>1</v>
      </c>
      <c r="AQ3" s="61" t="s">
        <v>207</v>
      </c>
      <c r="AR3" s="61"/>
      <c r="AS3" s="61">
        <v>1</v>
      </c>
      <c r="AT3" s="61" t="s">
        <v>208</v>
      </c>
      <c r="AU3" s="61"/>
      <c r="AV3" s="61">
        <v>1</v>
      </c>
      <c r="AW3" s="61" t="s">
        <v>265</v>
      </c>
      <c r="AX3" s="61"/>
      <c r="AY3" s="61">
        <v>0</v>
      </c>
      <c r="AZ3" s="61" t="s">
        <v>210</v>
      </c>
      <c r="BA3" s="61"/>
      <c r="BB3" s="61">
        <v>1</v>
      </c>
      <c r="BC3" s="61" t="s">
        <v>266</v>
      </c>
      <c r="BD3" s="61"/>
      <c r="BE3" s="61">
        <v>0</v>
      </c>
      <c r="BF3" s="61" t="s">
        <v>267</v>
      </c>
      <c r="BG3" s="61"/>
      <c r="BH3" s="61">
        <v>0</v>
      </c>
      <c r="BI3" s="61" t="s">
        <v>268</v>
      </c>
      <c r="BJ3" s="61"/>
      <c r="BK3" s="61">
        <v>0</v>
      </c>
      <c r="BL3" s="61" t="s">
        <v>214</v>
      </c>
      <c r="BM3" s="61"/>
      <c r="BN3" s="61">
        <v>1</v>
      </c>
      <c r="BO3" s="61" t="s">
        <v>215</v>
      </c>
      <c r="BP3" s="61"/>
      <c r="BQ3" s="61">
        <v>1</v>
      </c>
      <c r="BR3" s="61" t="s">
        <v>216</v>
      </c>
      <c r="BS3" s="61"/>
      <c r="BT3" s="61">
        <v>1</v>
      </c>
      <c r="BU3" s="61" t="s">
        <v>217</v>
      </c>
      <c r="BV3" s="61">
        <v>1</v>
      </c>
      <c r="BW3" s="61"/>
      <c r="BX3" s="61" t="s">
        <v>269</v>
      </c>
      <c r="BY3" s="61">
        <v>0</v>
      </c>
      <c r="BZ3" s="61"/>
      <c r="CA3" s="61" t="s">
        <v>270</v>
      </c>
      <c r="CB3" s="61">
        <v>0</v>
      </c>
      <c r="CC3" s="61"/>
      <c r="CD3" s="61" t="s">
        <v>271</v>
      </c>
      <c r="CE3" s="61">
        <v>1</v>
      </c>
      <c r="CF3" s="61"/>
      <c r="CG3" s="61" t="s">
        <v>221</v>
      </c>
      <c r="CH3" s="61">
        <v>1</v>
      </c>
      <c r="CI3" s="61"/>
      <c r="CJ3" s="61" t="s">
        <v>222</v>
      </c>
      <c r="CK3" s="61"/>
      <c r="CL3" s="61">
        <v>1</v>
      </c>
      <c r="CM3" s="61" t="s">
        <v>223</v>
      </c>
      <c r="CN3" s="61"/>
      <c r="CO3" s="61">
        <v>1</v>
      </c>
      <c r="CP3" s="61" t="s">
        <v>272</v>
      </c>
      <c r="CQ3" s="61"/>
      <c r="CR3" s="61">
        <v>0</v>
      </c>
      <c r="CS3" s="61" t="s">
        <v>225</v>
      </c>
      <c r="CT3" s="61"/>
      <c r="CU3" s="61">
        <v>1</v>
      </c>
      <c r="CV3" s="61" t="s">
        <v>226</v>
      </c>
      <c r="CW3" s="61"/>
      <c r="CX3" s="61">
        <v>1</v>
      </c>
      <c r="CY3" s="61" t="s">
        <v>227</v>
      </c>
      <c r="CZ3" s="61"/>
      <c r="DA3" s="61">
        <v>1</v>
      </c>
      <c r="DB3" s="61" t="s">
        <v>228</v>
      </c>
      <c r="DC3" s="61"/>
      <c r="DD3" s="61">
        <v>1</v>
      </c>
      <c r="DE3" s="61" t="s">
        <v>273</v>
      </c>
      <c r="DF3" s="61"/>
      <c r="DG3" s="61">
        <v>0</v>
      </c>
      <c r="DH3" s="61" t="s">
        <v>274</v>
      </c>
      <c r="DI3" s="61"/>
      <c r="DJ3" s="61">
        <v>0</v>
      </c>
      <c r="DK3" s="61" t="s">
        <v>231</v>
      </c>
      <c r="DL3" s="61"/>
      <c r="DM3" s="61">
        <v>1</v>
      </c>
      <c r="DN3" s="61" t="s">
        <v>232</v>
      </c>
      <c r="DO3" s="61"/>
      <c r="DP3" s="61">
        <v>1</v>
      </c>
      <c r="DQ3" s="61" t="s">
        <v>233</v>
      </c>
      <c r="DR3" s="61"/>
      <c r="DS3" s="61">
        <v>1</v>
      </c>
      <c r="DT3" s="61" t="s">
        <v>234</v>
      </c>
      <c r="DU3" s="61"/>
      <c r="DV3" s="61">
        <v>1</v>
      </c>
      <c r="DW3" s="61" t="s">
        <v>235</v>
      </c>
      <c r="DX3" s="61"/>
      <c r="DY3" s="61">
        <v>1</v>
      </c>
      <c r="DZ3" s="61" t="s">
        <v>275</v>
      </c>
      <c r="EA3" s="61"/>
      <c r="EB3" s="61">
        <v>0</v>
      </c>
      <c r="EC3" s="61" t="s">
        <v>237</v>
      </c>
      <c r="ED3" s="61"/>
      <c r="EE3" s="61">
        <v>1</v>
      </c>
      <c r="EF3" s="61" t="s">
        <v>276</v>
      </c>
      <c r="EG3" s="61"/>
      <c r="EH3" s="61">
        <v>0</v>
      </c>
      <c r="EI3" s="61" t="s">
        <v>239</v>
      </c>
      <c r="EJ3" s="61"/>
      <c r="EK3" s="61">
        <v>1</v>
      </c>
      <c r="EL3" s="61" t="s">
        <v>277</v>
      </c>
      <c r="EM3" s="61"/>
      <c r="EN3" s="61">
        <v>0</v>
      </c>
      <c r="EO3" s="61" t="s">
        <v>241</v>
      </c>
      <c r="EP3" s="61"/>
      <c r="EQ3" s="61">
        <v>1</v>
      </c>
      <c r="ER3" s="61" t="s">
        <v>278</v>
      </c>
      <c r="ES3" s="61"/>
      <c r="ET3" s="61">
        <v>0</v>
      </c>
      <c r="EU3" s="61" t="s">
        <v>243</v>
      </c>
      <c r="EV3" s="61"/>
      <c r="EW3" s="61">
        <v>1</v>
      </c>
      <c r="EX3" s="61" t="s">
        <v>279</v>
      </c>
      <c r="EY3" s="61"/>
      <c r="EZ3" s="61">
        <v>0</v>
      </c>
      <c r="FA3" s="61" t="s">
        <v>280</v>
      </c>
      <c r="FB3" s="61"/>
      <c r="FC3" s="61">
        <v>0</v>
      </c>
      <c r="FD3" s="61" t="s">
        <v>281</v>
      </c>
      <c r="FE3" s="61"/>
      <c r="FF3" s="61">
        <v>0</v>
      </c>
      <c r="FG3" s="61" t="s">
        <v>282</v>
      </c>
      <c r="FH3" s="61"/>
      <c r="FI3" s="61">
        <v>0</v>
      </c>
      <c r="FJ3" s="61" t="s">
        <v>248</v>
      </c>
      <c r="FK3" s="61"/>
      <c r="FL3" s="61">
        <v>0</v>
      </c>
      <c r="FM3" s="61" t="s">
        <v>249</v>
      </c>
      <c r="FN3" s="61"/>
      <c r="FO3" s="61">
        <v>1</v>
      </c>
      <c r="FP3" s="61" t="s">
        <v>250</v>
      </c>
      <c r="FQ3" s="61"/>
      <c r="FR3" s="61">
        <v>1</v>
      </c>
      <c r="FS3" s="61" t="s">
        <v>283</v>
      </c>
      <c r="FT3" s="61"/>
      <c r="FU3" s="61">
        <v>0</v>
      </c>
      <c r="FV3" s="61" t="s">
        <v>252</v>
      </c>
      <c r="FW3" s="61"/>
      <c r="FX3" s="61">
        <v>1</v>
      </c>
      <c r="FY3" s="61" t="s">
        <v>253</v>
      </c>
      <c r="FZ3" s="61"/>
      <c r="GA3" s="61">
        <v>1</v>
      </c>
      <c r="GB3" s="61" t="s">
        <v>254</v>
      </c>
      <c r="GC3" s="61"/>
      <c r="GD3" s="61">
        <v>1</v>
      </c>
      <c r="GE3" s="61" t="s">
        <v>284</v>
      </c>
      <c r="GF3" s="61"/>
      <c r="GG3" s="61">
        <v>0</v>
      </c>
      <c r="GH3" s="61" t="s">
        <v>285</v>
      </c>
      <c r="GI3" s="61"/>
      <c r="GJ3" s="61">
        <v>0</v>
      </c>
      <c r="GK3" s="61" t="s">
        <v>286</v>
      </c>
      <c r="GL3" s="61"/>
      <c r="GM3" s="61">
        <v>0</v>
      </c>
    </row>
    <row r="4" spans="1:195">
      <c r="A4" s="62">
        <v>3</v>
      </c>
      <c r="B4" s="61" t="s">
        <v>287</v>
      </c>
      <c r="C4" s="61" t="s">
        <v>288</v>
      </c>
      <c r="D4" s="61" t="s">
        <v>197</v>
      </c>
      <c r="E4" s="61"/>
      <c r="F4" s="61">
        <v>48</v>
      </c>
      <c r="G4" s="61"/>
      <c r="H4" s="61"/>
      <c r="I4" s="61"/>
      <c r="J4" s="61"/>
      <c r="K4" s="61"/>
      <c r="L4" s="65" t="s">
        <v>583</v>
      </c>
      <c r="M4" s="61" t="s">
        <v>584</v>
      </c>
      <c r="N4" s="61"/>
      <c r="O4" s="61"/>
      <c r="P4" s="61" t="s">
        <v>260</v>
      </c>
      <c r="Q4" s="61">
        <v>1</v>
      </c>
      <c r="R4" s="61"/>
      <c r="S4" s="61" t="s">
        <v>199</v>
      </c>
      <c r="T4" s="61">
        <v>1</v>
      </c>
      <c r="U4" s="61"/>
      <c r="V4" s="61" t="s">
        <v>200</v>
      </c>
      <c r="W4" s="61">
        <v>1</v>
      </c>
      <c r="X4" s="61"/>
      <c r="Y4" s="61" t="s">
        <v>289</v>
      </c>
      <c r="Z4" s="61">
        <v>0</v>
      </c>
      <c r="AA4" s="61"/>
      <c r="AB4" s="61" t="s">
        <v>290</v>
      </c>
      <c r="AC4" s="61"/>
      <c r="AD4" s="61">
        <v>1</v>
      </c>
      <c r="AE4" s="61" t="s">
        <v>203</v>
      </c>
      <c r="AF4" s="61"/>
      <c r="AG4" s="61">
        <v>1</v>
      </c>
      <c r="AH4" s="61" t="s">
        <v>204</v>
      </c>
      <c r="AI4" s="61"/>
      <c r="AJ4" s="61">
        <v>1</v>
      </c>
      <c r="AK4" s="61" t="s">
        <v>264</v>
      </c>
      <c r="AL4" s="61"/>
      <c r="AM4" s="61">
        <v>0</v>
      </c>
      <c r="AN4" s="61" t="s">
        <v>291</v>
      </c>
      <c r="AO4" s="61"/>
      <c r="AP4" s="61">
        <v>0</v>
      </c>
      <c r="AQ4" s="61" t="s">
        <v>207</v>
      </c>
      <c r="AR4" s="61"/>
      <c r="AS4" s="61">
        <v>1</v>
      </c>
      <c r="AT4" s="61" t="s">
        <v>292</v>
      </c>
      <c r="AU4" s="61"/>
      <c r="AV4" s="61">
        <v>0</v>
      </c>
      <c r="AW4" s="61" t="s">
        <v>293</v>
      </c>
      <c r="AX4" s="61"/>
      <c r="AY4" s="61">
        <v>0</v>
      </c>
      <c r="AZ4" s="61" t="s">
        <v>210</v>
      </c>
      <c r="BA4" s="61"/>
      <c r="BB4" s="61">
        <v>1</v>
      </c>
      <c r="BC4" s="61" t="s">
        <v>211</v>
      </c>
      <c r="BD4" s="61"/>
      <c r="BE4" s="61">
        <v>1</v>
      </c>
      <c r="BF4" s="61" t="s">
        <v>212</v>
      </c>
      <c r="BG4" s="61"/>
      <c r="BH4" s="61">
        <v>1</v>
      </c>
      <c r="BI4" s="61" t="s">
        <v>213</v>
      </c>
      <c r="BJ4" s="61"/>
      <c r="BK4" s="61">
        <v>1</v>
      </c>
      <c r="BL4" s="61" t="s">
        <v>214</v>
      </c>
      <c r="BM4" s="61"/>
      <c r="BN4" s="61">
        <v>1</v>
      </c>
      <c r="BO4" s="61" t="s">
        <v>215</v>
      </c>
      <c r="BP4" s="61"/>
      <c r="BQ4" s="61">
        <v>1</v>
      </c>
      <c r="BR4" s="61" t="s">
        <v>294</v>
      </c>
      <c r="BS4" s="61"/>
      <c r="BT4" s="61">
        <v>0</v>
      </c>
      <c r="BU4" s="61" t="s">
        <v>217</v>
      </c>
      <c r="BV4" s="61">
        <v>1</v>
      </c>
      <c r="BW4" s="61"/>
      <c r="BX4" s="61" t="s">
        <v>218</v>
      </c>
      <c r="BY4" s="61">
        <v>1</v>
      </c>
      <c r="BZ4" s="61"/>
      <c r="CA4" s="61" t="s">
        <v>295</v>
      </c>
      <c r="CB4" s="61">
        <v>0</v>
      </c>
      <c r="CC4" s="61"/>
      <c r="CD4" s="61" t="s">
        <v>271</v>
      </c>
      <c r="CE4" s="61">
        <v>1</v>
      </c>
      <c r="CF4" s="61"/>
      <c r="CG4" s="61" t="s">
        <v>221</v>
      </c>
      <c r="CH4" s="61">
        <v>1</v>
      </c>
      <c r="CI4" s="61"/>
      <c r="CJ4" s="61" t="s">
        <v>222</v>
      </c>
      <c r="CK4" s="61"/>
      <c r="CL4" s="61">
        <v>1</v>
      </c>
      <c r="CM4" s="61" t="s">
        <v>223</v>
      </c>
      <c r="CN4" s="61"/>
      <c r="CO4" s="61">
        <v>1</v>
      </c>
      <c r="CP4" s="61" t="s">
        <v>224</v>
      </c>
      <c r="CQ4" s="61"/>
      <c r="CR4" s="61">
        <v>1</v>
      </c>
      <c r="CS4" s="61" t="s">
        <v>225</v>
      </c>
      <c r="CT4" s="61"/>
      <c r="CU4" s="61">
        <v>1</v>
      </c>
      <c r="CV4" s="61" t="s">
        <v>226</v>
      </c>
      <c r="CW4" s="61"/>
      <c r="CX4" s="61">
        <v>1</v>
      </c>
      <c r="CY4" s="61" t="s">
        <v>227</v>
      </c>
      <c r="CZ4" s="61"/>
      <c r="DA4" s="61">
        <v>1</v>
      </c>
      <c r="DB4" s="61" t="s">
        <v>228</v>
      </c>
      <c r="DC4" s="61"/>
      <c r="DD4" s="61">
        <v>1</v>
      </c>
      <c r="DE4" s="61" t="s">
        <v>296</v>
      </c>
      <c r="DF4" s="61"/>
      <c r="DG4" s="61">
        <v>0</v>
      </c>
      <c r="DH4" s="61" t="s">
        <v>230</v>
      </c>
      <c r="DI4" s="61"/>
      <c r="DJ4" s="61">
        <v>1</v>
      </c>
      <c r="DK4" s="61" t="s">
        <v>231</v>
      </c>
      <c r="DL4" s="61"/>
      <c r="DM4" s="61">
        <v>1</v>
      </c>
      <c r="DN4" s="61" t="s">
        <v>232</v>
      </c>
      <c r="DO4" s="61"/>
      <c r="DP4" s="61">
        <v>1</v>
      </c>
      <c r="DQ4" s="61" t="s">
        <v>233</v>
      </c>
      <c r="DR4" s="61"/>
      <c r="DS4" s="61">
        <v>1</v>
      </c>
      <c r="DT4" s="61" t="s">
        <v>234</v>
      </c>
      <c r="DU4" s="61"/>
      <c r="DV4" s="61">
        <v>1</v>
      </c>
      <c r="DW4" s="61" t="s">
        <v>235</v>
      </c>
      <c r="DX4" s="61"/>
      <c r="DY4" s="61">
        <v>1</v>
      </c>
      <c r="DZ4" s="61" t="s">
        <v>236</v>
      </c>
      <c r="EA4" s="61"/>
      <c r="EB4" s="61">
        <v>1</v>
      </c>
      <c r="EC4" s="61" t="s">
        <v>297</v>
      </c>
      <c r="ED4" s="61"/>
      <c r="EE4" s="61">
        <v>0</v>
      </c>
      <c r="EF4" s="61" t="s">
        <v>238</v>
      </c>
      <c r="EG4" s="61"/>
      <c r="EH4" s="61">
        <v>1</v>
      </c>
      <c r="EI4" s="61" t="s">
        <v>239</v>
      </c>
      <c r="EJ4" s="61"/>
      <c r="EK4" s="61">
        <v>1</v>
      </c>
      <c r="EL4" s="61" t="s">
        <v>240</v>
      </c>
      <c r="EM4" s="61"/>
      <c r="EN4" s="61">
        <v>1</v>
      </c>
      <c r="EO4" s="61" t="s">
        <v>241</v>
      </c>
      <c r="EP4" s="61"/>
      <c r="EQ4" s="61">
        <v>1</v>
      </c>
      <c r="ER4" s="61" t="s">
        <v>278</v>
      </c>
      <c r="ES4" s="61"/>
      <c r="ET4" s="61">
        <v>0</v>
      </c>
      <c r="EU4" s="61" t="s">
        <v>243</v>
      </c>
      <c r="EV4" s="61"/>
      <c r="EW4" s="61">
        <v>1</v>
      </c>
      <c r="EX4" s="61" t="s">
        <v>244</v>
      </c>
      <c r="EY4" s="61"/>
      <c r="EZ4" s="61">
        <v>1</v>
      </c>
      <c r="FA4" s="61" t="s">
        <v>245</v>
      </c>
      <c r="FB4" s="61"/>
      <c r="FC4" s="61">
        <v>1</v>
      </c>
      <c r="FD4" s="61" t="s">
        <v>246</v>
      </c>
      <c r="FE4" s="61"/>
      <c r="FF4" s="61">
        <v>1</v>
      </c>
      <c r="FG4" s="61" t="s">
        <v>247</v>
      </c>
      <c r="FH4" s="61"/>
      <c r="FI4" s="61">
        <v>1</v>
      </c>
      <c r="FJ4" s="61" t="s">
        <v>298</v>
      </c>
      <c r="FK4" s="61"/>
      <c r="FL4" s="61">
        <v>1</v>
      </c>
      <c r="FM4" s="61" t="s">
        <v>299</v>
      </c>
      <c r="FN4" s="61"/>
      <c r="FO4" s="61">
        <v>0</v>
      </c>
      <c r="FP4" s="61" t="s">
        <v>250</v>
      </c>
      <c r="FQ4" s="61"/>
      <c r="FR4" s="61">
        <v>1</v>
      </c>
      <c r="FS4" s="61" t="s">
        <v>251</v>
      </c>
      <c r="FT4" s="61"/>
      <c r="FU4" s="61">
        <v>1</v>
      </c>
      <c r="FV4" s="61" t="s">
        <v>252</v>
      </c>
      <c r="FW4" s="61"/>
      <c r="FX4" s="61">
        <v>1</v>
      </c>
      <c r="FY4" s="61" t="s">
        <v>253</v>
      </c>
      <c r="FZ4" s="61"/>
      <c r="GA4" s="61">
        <v>1</v>
      </c>
      <c r="GB4" s="61" t="s">
        <v>254</v>
      </c>
      <c r="GC4" s="61"/>
      <c r="GD4" s="61">
        <v>1</v>
      </c>
      <c r="GE4" s="61" t="s">
        <v>255</v>
      </c>
      <c r="GF4" s="61"/>
      <c r="GG4" s="61">
        <v>1</v>
      </c>
      <c r="GH4" s="61" t="s">
        <v>285</v>
      </c>
      <c r="GI4" s="61"/>
      <c r="GJ4" s="61">
        <v>0</v>
      </c>
      <c r="GK4" s="61" t="s">
        <v>257</v>
      </c>
      <c r="GL4" s="61"/>
      <c r="GM4" s="61">
        <v>1</v>
      </c>
    </row>
    <row r="5" spans="1:195">
      <c r="A5" s="62">
        <v>4</v>
      </c>
      <c r="B5" s="61" t="s">
        <v>300</v>
      </c>
      <c r="C5" s="61" t="s">
        <v>301</v>
      </c>
      <c r="D5" s="61" t="s">
        <v>197</v>
      </c>
      <c r="E5" s="61"/>
      <c r="F5" s="61">
        <v>46</v>
      </c>
      <c r="G5" s="61"/>
      <c r="H5" s="61"/>
      <c r="I5" s="61"/>
      <c r="J5" s="61"/>
      <c r="K5" s="61"/>
      <c r="L5" s="65" t="s">
        <v>585</v>
      </c>
      <c r="M5" s="61" t="s">
        <v>586</v>
      </c>
      <c r="N5" s="61"/>
      <c r="O5" s="61"/>
      <c r="P5" s="61" t="s">
        <v>260</v>
      </c>
      <c r="Q5" s="61">
        <v>1</v>
      </c>
      <c r="R5" s="61"/>
      <c r="S5" s="61" t="s">
        <v>199</v>
      </c>
      <c r="T5" s="61">
        <v>1</v>
      </c>
      <c r="U5" s="61"/>
      <c r="V5" s="61" t="s">
        <v>302</v>
      </c>
      <c r="W5" s="61">
        <v>0</v>
      </c>
      <c r="X5" s="61"/>
      <c r="Y5" s="61" t="s">
        <v>261</v>
      </c>
      <c r="Z5" s="61">
        <v>1</v>
      </c>
      <c r="AA5" s="61"/>
      <c r="AB5" s="61" t="s">
        <v>290</v>
      </c>
      <c r="AC5" s="61"/>
      <c r="AD5" s="61">
        <v>1</v>
      </c>
      <c r="AE5" s="61" t="s">
        <v>203</v>
      </c>
      <c r="AF5" s="61"/>
      <c r="AG5" s="61">
        <v>1</v>
      </c>
      <c r="AH5" s="61" t="s">
        <v>303</v>
      </c>
      <c r="AI5" s="61"/>
      <c r="AJ5" s="61">
        <v>0</v>
      </c>
      <c r="AK5" s="61" t="s">
        <v>205</v>
      </c>
      <c r="AL5" s="61"/>
      <c r="AM5" s="61">
        <v>1</v>
      </c>
      <c r="AN5" s="61" t="s">
        <v>304</v>
      </c>
      <c r="AO5" s="61"/>
      <c r="AP5" s="61">
        <v>0</v>
      </c>
      <c r="AQ5" s="61" t="s">
        <v>207</v>
      </c>
      <c r="AR5" s="61"/>
      <c r="AS5" s="61">
        <v>1</v>
      </c>
      <c r="AT5" s="61" t="s">
        <v>208</v>
      </c>
      <c r="AU5" s="61"/>
      <c r="AV5" s="61">
        <v>1</v>
      </c>
      <c r="AW5" s="61" t="s">
        <v>305</v>
      </c>
      <c r="AX5" s="61"/>
      <c r="AY5" s="61">
        <v>0</v>
      </c>
      <c r="AZ5" s="61" t="s">
        <v>210</v>
      </c>
      <c r="BA5" s="61"/>
      <c r="BB5" s="61">
        <v>1</v>
      </c>
      <c r="BC5" s="61" t="s">
        <v>211</v>
      </c>
      <c r="BD5" s="61"/>
      <c r="BE5" s="61">
        <v>1</v>
      </c>
      <c r="BF5" s="61" t="s">
        <v>212</v>
      </c>
      <c r="BG5" s="61"/>
      <c r="BH5" s="61">
        <v>1</v>
      </c>
      <c r="BI5" s="61" t="s">
        <v>213</v>
      </c>
      <c r="BJ5" s="61"/>
      <c r="BK5" s="61">
        <v>1</v>
      </c>
      <c r="BL5" s="61" t="s">
        <v>214</v>
      </c>
      <c r="BM5" s="61"/>
      <c r="BN5" s="61">
        <v>1</v>
      </c>
      <c r="BO5" s="61" t="s">
        <v>215</v>
      </c>
      <c r="BP5" s="61"/>
      <c r="BQ5" s="61">
        <v>1</v>
      </c>
      <c r="BR5" s="61" t="s">
        <v>216</v>
      </c>
      <c r="BS5" s="61"/>
      <c r="BT5" s="61">
        <v>1</v>
      </c>
      <c r="BU5" s="61" t="s">
        <v>217</v>
      </c>
      <c r="BV5" s="61">
        <v>1</v>
      </c>
      <c r="BW5" s="61"/>
      <c r="BX5" s="61" t="s">
        <v>218</v>
      </c>
      <c r="BY5" s="61">
        <v>1</v>
      </c>
      <c r="BZ5" s="61"/>
      <c r="CA5" s="61" t="s">
        <v>219</v>
      </c>
      <c r="CB5" s="61">
        <v>1</v>
      </c>
      <c r="CC5" s="61"/>
      <c r="CD5" s="61" t="s">
        <v>271</v>
      </c>
      <c r="CE5" s="61">
        <v>1</v>
      </c>
      <c r="CF5" s="61"/>
      <c r="CG5" s="61" t="s">
        <v>306</v>
      </c>
      <c r="CH5" s="61">
        <v>0</v>
      </c>
      <c r="CI5" s="61"/>
      <c r="CJ5" s="61" t="s">
        <v>222</v>
      </c>
      <c r="CK5" s="61"/>
      <c r="CL5" s="61">
        <v>1</v>
      </c>
      <c r="CM5" s="61" t="s">
        <v>223</v>
      </c>
      <c r="CN5" s="61"/>
      <c r="CO5" s="61">
        <v>1</v>
      </c>
      <c r="CP5" s="61" t="s">
        <v>224</v>
      </c>
      <c r="CQ5" s="61"/>
      <c r="CR5" s="61">
        <v>1</v>
      </c>
      <c r="CS5" s="61" t="s">
        <v>307</v>
      </c>
      <c r="CT5" s="61"/>
      <c r="CU5" s="61">
        <v>0</v>
      </c>
      <c r="CV5" s="61" t="s">
        <v>226</v>
      </c>
      <c r="CW5" s="61"/>
      <c r="CX5" s="61">
        <v>1</v>
      </c>
      <c r="CY5" s="61" t="s">
        <v>227</v>
      </c>
      <c r="CZ5" s="61"/>
      <c r="DA5" s="61">
        <v>1</v>
      </c>
      <c r="DB5" s="61" t="s">
        <v>228</v>
      </c>
      <c r="DC5" s="61"/>
      <c r="DD5" s="61">
        <v>1</v>
      </c>
      <c r="DE5" s="61" t="s">
        <v>229</v>
      </c>
      <c r="DF5" s="61"/>
      <c r="DG5" s="61">
        <v>1</v>
      </c>
      <c r="DH5" s="61" t="s">
        <v>230</v>
      </c>
      <c r="DI5" s="61"/>
      <c r="DJ5" s="61">
        <v>1</v>
      </c>
      <c r="DK5" s="61" t="s">
        <v>231</v>
      </c>
      <c r="DL5" s="61"/>
      <c r="DM5" s="61">
        <v>1</v>
      </c>
      <c r="DN5" s="61" t="s">
        <v>232</v>
      </c>
      <c r="DO5" s="61"/>
      <c r="DP5" s="61">
        <v>1</v>
      </c>
      <c r="DQ5" s="61" t="s">
        <v>233</v>
      </c>
      <c r="DR5" s="61"/>
      <c r="DS5" s="61">
        <v>1</v>
      </c>
      <c r="DT5" s="61" t="s">
        <v>308</v>
      </c>
      <c r="DU5" s="61"/>
      <c r="DV5" s="61">
        <v>0</v>
      </c>
      <c r="DW5" s="61" t="s">
        <v>235</v>
      </c>
      <c r="DX5" s="61"/>
      <c r="DY5" s="61">
        <v>1</v>
      </c>
      <c r="DZ5" s="61" t="s">
        <v>236</v>
      </c>
      <c r="EA5" s="61"/>
      <c r="EB5" s="61">
        <v>1</v>
      </c>
      <c r="EC5" s="61" t="s">
        <v>237</v>
      </c>
      <c r="ED5" s="61"/>
      <c r="EE5" s="61">
        <v>1</v>
      </c>
      <c r="EF5" s="61" t="s">
        <v>238</v>
      </c>
      <c r="EG5" s="61"/>
      <c r="EH5" s="61">
        <v>1</v>
      </c>
      <c r="EI5" s="61" t="s">
        <v>239</v>
      </c>
      <c r="EJ5" s="61"/>
      <c r="EK5" s="61">
        <v>1</v>
      </c>
      <c r="EL5" s="61" t="s">
        <v>240</v>
      </c>
      <c r="EM5" s="61"/>
      <c r="EN5" s="61">
        <v>1</v>
      </c>
      <c r="EO5" s="61" t="s">
        <v>241</v>
      </c>
      <c r="EP5" s="61"/>
      <c r="EQ5" s="61">
        <v>1</v>
      </c>
      <c r="ER5" s="61" t="s">
        <v>309</v>
      </c>
      <c r="ES5" s="61"/>
      <c r="ET5" s="61">
        <v>0</v>
      </c>
      <c r="EU5" s="61" t="s">
        <v>243</v>
      </c>
      <c r="EV5" s="61"/>
      <c r="EW5" s="61">
        <v>1</v>
      </c>
      <c r="EX5" s="61" t="s">
        <v>244</v>
      </c>
      <c r="EY5" s="61"/>
      <c r="EZ5" s="61">
        <v>1</v>
      </c>
      <c r="FA5" s="61" t="s">
        <v>280</v>
      </c>
      <c r="FB5" s="61"/>
      <c r="FC5" s="61">
        <v>0</v>
      </c>
      <c r="FD5" s="61" t="s">
        <v>246</v>
      </c>
      <c r="FE5" s="61"/>
      <c r="FF5" s="61">
        <v>1</v>
      </c>
      <c r="FG5" s="61" t="s">
        <v>282</v>
      </c>
      <c r="FH5" s="61"/>
      <c r="FI5" s="61">
        <v>0</v>
      </c>
      <c r="FJ5" s="61" t="s">
        <v>310</v>
      </c>
      <c r="FK5" s="61"/>
      <c r="FL5" s="61">
        <v>0</v>
      </c>
      <c r="FM5" s="61" t="s">
        <v>311</v>
      </c>
      <c r="FN5" s="61"/>
      <c r="FO5" s="61">
        <v>0</v>
      </c>
      <c r="FP5" s="61" t="s">
        <v>250</v>
      </c>
      <c r="FQ5" s="61"/>
      <c r="FR5" s="61">
        <v>1</v>
      </c>
      <c r="FS5" s="61" t="s">
        <v>251</v>
      </c>
      <c r="FT5" s="61"/>
      <c r="FU5" s="61">
        <v>1</v>
      </c>
      <c r="FV5" s="61" t="s">
        <v>252</v>
      </c>
      <c r="FW5" s="61"/>
      <c r="FX5" s="61">
        <v>1</v>
      </c>
      <c r="FY5" s="61" t="s">
        <v>253</v>
      </c>
      <c r="FZ5" s="61"/>
      <c r="GA5" s="61">
        <v>1</v>
      </c>
      <c r="GB5" s="61" t="s">
        <v>254</v>
      </c>
      <c r="GC5" s="61"/>
      <c r="GD5" s="61">
        <v>1</v>
      </c>
      <c r="GE5" s="61" t="s">
        <v>255</v>
      </c>
      <c r="GF5" s="61"/>
      <c r="GG5" s="61">
        <v>1</v>
      </c>
      <c r="GH5" s="61" t="s">
        <v>285</v>
      </c>
      <c r="GI5" s="61"/>
      <c r="GJ5" s="61">
        <v>0</v>
      </c>
      <c r="GK5" s="61" t="s">
        <v>286</v>
      </c>
      <c r="GL5" s="61"/>
      <c r="GM5" s="61">
        <v>0</v>
      </c>
    </row>
    <row r="6" spans="1:195">
      <c r="A6" s="62">
        <v>5</v>
      </c>
      <c r="B6" s="61" t="s">
        <v>312</v>
      </c>
      <c r="C6" s="61" t="s">
        <v>313</v>
      </c>
      <c r="D6" s="61" t="s">
        <v>197</v>
      </c>
      <c r="E6" s="61"/>
      <c r="F6" s="61">
        <v>42</v>
      </c>
      <c r="G6" s="61"/>
      <c r="H6" s="61"/>
      <c r="I6" s="61"/>
      <c r="J6" s="61"/>
      <c r="K6" s="61"/>
      <c r="L6" s="65" t="s">
        <v>587</v>
      </c>
      <c r="M6" s="61" t="s">
        <v>588</v>
      </c>
      <c r="N6" s="61"/>
      <c r="O6" s="61"/>
      <c r="P6" s="61" t="s">
        <v>260</v>
      </c>
      <c r="Q6" s="61">
        <v>1</v>
      </c>
      <c r="R6" s="61"/>
      <c r="S6" s="61" t="s">
        <v>199</v>
      </c>
      <c r="T6" s="61">
        <v>1</v>
      </c>
      <c r="U6" s="61"/>
      <c r="V6" s="61" t="s">
        <v>314</v>
      </c>
      <c r="W6" s="61">
        <v>0</v>
      </c>
      <c r="X6" s="61"/>
      <c r="Y6" s="61" t="s">
        <v>201</v>
      </c>
      <c r="Z6" s="61">
        <v>0</v>
      </c>
      <c r="AA6" s="61"/>
      <c r="AB6" s="61" t="s">
        <v>202</v>
      </c>
      <c r="AC6" s="61"/>
      <c r="AD6" s="61">
        <v>0</v>
      </c>
      <c r="AE6" s="61" t="s">
        <v>203</v>
      </c>
      <c r="AF6" s="61"/>
      <c r="AG6" s="61">
        <v>1</v>
      </c>
      <c r="AH6" s="61" t="s">
        <v>204</v>
      </c>
      <c r="AI6" s="61"/>
      <c r="AJ6" s="61">
        <v>1</v>
      </c>
      <c r="AK6" s="61" t="s">
        <v>205</v>
      </c>
      <c r="AL6" s="61"/>
      <c r="AM6" s="61">
        <v>1</v>
      </c>
      <c r="AN6" s="61" t="s">
        <v>206</v>
      </c>
      <c r="AO6" s="61"/>
      <c r="AP6" s="61">
        <v>1</v>
      </c>
      <c r="AQ6" s="61" t="s">
        <v>207</v>
      </c>
      <c r="AR6" s="61"/>
      <c r="AS6" s="61">
        <v>1</v>
      </c>
      <c r="AT6" s="61" t="s">
        <v>208</v>
      </c>
      <c r="AU6" s="61"/>
      <c r="AV6" s="61">
        <v>1</v>
      </c>
      <c r="AW6" s="61" t="s">
        <v>305</v>
      </c>
      <c r="AX6" s="61"/>
      <c r="AY6" s="61">
        <v>0</v>
      </c>
      <c r="AZ6" s="61" t="s">
        <v>210</v>
      </c>
      <c r="BA6" s="61"/>
      <c r="BB6" s="61">
        <v>1</v>
      </c>
      <c r="BC6" s="61" t="s">
        <v>315</v>
      </c>
      <c r="BD6" s="61"/>
      <c r="BE6" s="61">
        <v>0</v>
      </c>
      <c r="BF6" s="61" t="s">
        <v>212</v>
      </c>
      <c r="BG6" s="61"/>
      <c r="BH6" s="61">
        <v>1</v>
      </c>
      <c r="BI6" s="61" t="s">
        <v>316</v>
      </c>
      <c r="BJ6" s="61"/>
      <c r="BK6" s="61">
        <v>0</v>
      </c>
      <c r="BL6" s="61" t="s">
        <v>214</v>
      </c>
      <c r="BM6" s="61"/>
      <c r="BN6" s="61">
        <v>1</v>
      </c>
      <c r="BO6" s="61" t="s">
        <v>215</v>
      </c>
      <c r="BP6" s="61"/>
      <c r="BQ6" s="61">
        <v>1</v>
      </c>
      <c r="BR6" s="61" t="s">
        <v>216</v>
      </c>
      <c r="BS6" s="61"/>
      <c r="BT6" s="61">
        <v>1</v>
      </c>
      <c r="BU6" s="61" t="s">
        <v>317</v>
      </c>
      <c r="BV6" s="61">
        <v>0</v>
      </c>
      <c r="BW6" s="61"/>
      <c r="BX6" s="61" t="s">
        <v>218</v>
      </c>
      <c r="BY6" s="61">
        <v>1</v>
      </c>
      <c r="BZ6" s="61"/>
      <c r="CA6" s="61" t="s">
        <v>219</v>
      </c>
      <c r="CB6" s="61">
        <v>1</v>
      </c>
      <c r="CC6" s="61"/>
      <c r="CD6" s="61" t="s">
        <v>271</v>
      </c>
      <c r="CE6" s="61">
        <v>1</v>
      </c>
      <c r="CF6" s="61"/>
      <c r="CG6" s="61" t="s">
        <v>318</v>
      </c>
      <c r="CH6" s="61">
        <v>0</v>
      </c>
      <c r="CI6" s="61"/>
      <c r="CJ6" s="61" t="s">
        <v>222</v>
      </c>
      <c r="CK6" s="61"/>
      <c r="CL6" s="61">
        <v>1</v>
      </c>
      <c r="CM6" s="61" t="s">
        <v>223</v>
      </c>
      <c r="CN6" s="61"/>
      <c r="CO6" s="61">
        <v>1</v>
      </c>
      <c r="CP6" s="61" t="s">
        <v>272</v>
      </c>
      <c r="CQ6" s="61"/>
      <c r="CR6" s="61">
        <v>0</v>
      </c>
      <c r="CS6" s="61" t="s">
        <v>225</v>
      </c>
      <c r="CT6" s="61"/>
      <c r="CU6" s="61">
        <v>1</v>
      </c>
      <c r="CV6" s="61" t="s">
        <v>226</v>
      </c>
      <c r="CW6" s="61"/>
      <c r="CX6" s="61">
        <v>1</v>
      </c>
      <c r="CY6" s="61" t="s">
        <v>227</v>
      </c>
      <c r="CZ6" s="61"/>
      <c r="DA6" s="61">
        <v>1</v>
      </c>
      <c r="DB6" s="61" t="s">
        <v>228</v>
      </c>
      <c r="DC6" s="61"/>
      <c r="DD6" s="61">
        <v>1</v>
      </c>
      <c r="DE6" s="61" t="s">
        <v>229</v>
      </c>
      <c r="DF6" s="61"/>
      <c r="DG6" s="61">
        <v>1</v>
      </c>
      <c r="DH6" s="61" t="s">
        <v>230</v>
      </c>
      <c r="DI6" s="61"/>
      <c r="DJ6" s="61">
        <v>1</v>
      </c>
      <c r="DK6" s="61" t="s">
        <v>319</v>
      </c>
      <c r="DL6" s="61"/>
      <c r="DM6" s="61">
        <v>0</v>
      </c>
      <c r="DN6" s="61" t="s">
        <v>232</v>
      </c>
      <c r="DO6" s="61"/>
      <c r="DP6" s="61">
        <v>1</v>
      </c>
      <c r="DQ6" s="61" t="s">
        <v>233</v>
      </c>
      <c r="DR6" s="61"/>
      <c r="DS6" s="61">
        <v>1</v>
      </c>
      <c r="DT6" s="61" t="s">
        <v>234</v>
      </c>
      <c r="DU6" s="61"/>
      <c r="DV6" s="61">
        <v>1</v>
      </c>
      <c r="DW6" s="61" t="s">
        <v>235</v>
      </c>
      <c r="DX6" s="61"/>
      <c r="DY6" s="61">
        <v>1</v>
      </c>
      <c r="DZ6" s="61" t="s">
        <v>236</v>
      </c>
      <c r="EA6" s="61"/>
      <c r="EB6" s="61">
        <v>1</v>
      </c>
      <c r="EC6" s="61" t="s">
        <v>237</v>
      </c>
      <c r="ED6" s="61"/>
      <c r="EE6" s="61">
        <v>1</v>
      </c>
      <c r="EF6" s="61" t="s">
        <v>320</v>
      </c>
      <c r="EG6" s="61"/>
      <c r="EH6" s="61">
        <v>0</v>
      </c>
      <c r="EI6" s="61" t="s">
        <v>239</v>
      </c>
      <c r="EJ6" s="61"/>
      <c r="EK6" s="61">
        <v>1</v>
      </c>
      <c r="EL6" s="61" t="s">
        <v>277</v>
      </c>
      <c r="EM6" s="61"/>
      <c r="EN6" s="61">
        <v>0</v>
      </c>
      <c r="EO6" s="61" t="s">
        <v>241</v>
      </c>
      <c r="EP6" s="61"/>
      <c r="EQ6" s="61">
        <v>1</v>
      </c>
      <c r="ER6" s="61" t="s">
        <v>278</v>
      </c>
      <c r="ES6" s="61"/>
      <c r="ET6" s="61">
        <v>0</v>
      </c>
      <c r="EU6" s="61" t="s">
        <v>243</v>
      </c>
      <c r="EV6" s="61"/>
      <c r="EW6" s="61">
        <v>1</v>
      </c>
      <c r="EX6" s="61" t="s">
        <v>244</v>
      </c>
      <c r="EY6" s="61"/>
      <c r="EZ6" s="61">
        <v>1</v>
      </c>
      <c r="FA6" s="61" t="s">
        <v>321</v>
      </c>
      <c r="FB6" s="61"/>
      <c r="FC6" s="61">
        <v>0</v>
      </c>
      <c r="FD6" s="61" t="s">
        <v>246</v>
      </c>
      <c r="FE6" s="61"/>
      <c r="FF6" s="61">
        <v>1</v>
      </c>
      <c r="FG6" s="61" t="s">
        <v>282</v>
      </c>
      <c r="FH6" s="61"/>
      <c r="FI6" s="61">
        <v>0</v>
      </c>
      <c r="FJ6" s="61" t="s">
        <v>310</v>
      </c>
      <c r="FK6" s="61"/>
      <c r="FL6" s="61">
        <v>0</v>
      </c>
      <c r="FM6" s="61" t="s">
        <v>249</v>
      </c>
      <c r="FN6" s="61"/>
      <c r="FO6" s="61">
        <v>1</v>
      </c>
      <c r="FP6" s="61" t="s">
        <v>250</v>
      </c>
      <c r="FQ6" s="61"/>
      <c r="FR6" s="61">
        <v>1</v>
      </c>
      <c r="FS6" s="61" t="s">
        <v>251</v>
      </c>
      <c r="FT6" s="61"/>
      <c r="FU6" s="61">
        <v>1</v>
      </c>
      <c r="FV6" s="61" t="s">
        <v>252</v>
      </c>
      <c r="FW6" s="61"/>
      <c r="FX6" s="61">
        <v>1</v>
      </c>
      <c r="FY6" s="61" t="s">
        <v>253</v>
      </c>
      <c r="FZ6" s="61"/>
      <c r="GA6" s="61">
        <v>1</v>
      </c>
      <c r="GB6" s="61" t="s">
        <v>254</v>
      </c>
      <c r="GC6" s="61"/>
      <c r="GD6" s="61">
        <v>1</v>
      </c>
      <c r="GE6" s="61" t="s">
        <v>284</v>
      </c>
      <c r="GF6" s="61"/>
      <c r="GG6" s="61">
        <v>0</v>
      </c>
      <c r="GH6" s="61" t="s">
        <v>256</v>
      </c>
      <c r="GI6" s="61"/>
      <c r="GJ6" s="61">
        <v>1</v>
      </c>
      <c r="GK6" s="61" t="s">
        <v>322</v>
      </c>
      <c r="GL6" s="61"/>
      <c r="GM6" s="61">
        <v>0</v>
      </c>
    </row>
    <row r="7" spans="1:195">
      <c r="A7" s="62">
        <v>6</v>
      </c>
      <c r="B7" s="61" t="s">
        <v>323</v>
      </c>
      <c r="C7" s="61" t="s">
        <v>324</v>
      </c>
      <c r="D7" s="61" t="s">
        <v>197</v>
      </c>
      <c r="E7" s="61"/>
      <c r="F7" s="61">
        <v>42</v>
      </c>
      <c r="G7" s="61"/>
      <c r="H7" s="61"/>
      <c r="I7" s="61"/>
      <c r="J7" s="61"/>
      <c r="K7" s="61"/>
      <c r="L7" s="65" t="s">
        <v>589</v>
      </c>
      <c r="M7" s="61" t="s">
        <v>590</v>
      </c>
      <c r="N7" s="61"/>
      <c r="O7" s="61"/>
      <c r="P7" s="61" t="s">
        <v>198</v>
      </c>
      <c r="Q7" s="61">
        <v>0</v>
      </c>
      <c r="R7" s="61"/>
      <c r="S7" s="61" t="s">
        <v>199</v>
      </c>
      <c r="T7" s="61">
        <v>1</v>
      </c>
      <c r="U7" s="61"/>
      <c r="V7" s="61" t="s">
        <v>200</v>
      </c>
      <c r="W7" s="61">
        <v>1</v>
      </c>
      <c r="X7" s="61"/>
      <c r="Y7" s="61" t="s">
        <v>325</v>
      </c>
      <c r="Z7" s="61">
        <v>0</v>
      </c>
      <c r="AA7" s="61"/>
      <c r="AB7" s="61" t="s">
        <v>290</v>
      </c>
      <c r="AC7" s="61"/>
      <c r="AD7" s="61">
        <v>1</v>
      </c>
      <c r="AE7" s="61" t="s">
        <v>326</v>
      </c>
      <c r="AF7" s="61"/>
      <c r="AG7" s="61">
        <v>0</v>
      </c>
      <c r="AH7" s="61" t="s">
        <v>204</v>
      </c>
      <c r="AI7" s="61"/>
      <c r="AJ7" s="61">
        <v>1</v>
      </c>
      <c r="AK7" s="61" t="s">
        <v>205</v>
      </c>
      <c r="AL7" s="61"/>
      <c r="AM7" s="61">
        <v>1</v>
      </c>
      <c r="AN7" s="61" t="s">
        <v>206</v>
      </c>
      <c r="AO7" s="61"/>
      <c r="AP7" s="61">
        <v>1</v>
      </c>
      <c r="AQ7" s="61" t="s">
        <v>207</v>
      </c>
      <c r="AR7" s="61"/>
      <c r="AS7" s="61">
        <v>1</v>
      </c>
      <c r="AT7" s="61" t="s">
        <v>208</v>
      </c>
      <c r="AU7" s="61"/>
      <c r="AV7" s="61">
        <v>1</v>
      </c>
      <c r="AW7" s="61" t="s">
        <v>265</v>
      </c>
      <c r="AX7" s="61"/>
      <c r="AY7" s="61">
        <v>0</v>
      </c>
      <c r="AZ7" s="61" t="s">
        <v>210</v>
      </c>
      <c r="BA7" s="61"/>
      <c r="BB7" s="61">
        <v>1</v>
      </c>
      <c r="BC7" s="61" t="s">
        <v>211</v>
      </c>
      <c r="BD7" s="61"/>
      <c r="BE7" s="61">
        <v>1</v>
      </c>
      <c r="BF7" s="61" t="s">
        <v>267</v>
      </c>
      <c r="BG7" s="61"/>
      <c r="BH7" s="61">
        <v>0</v>
      </c>
      <c r="BI7" s="61" t="s">
        <v>213</v>
      </c>
      <c r="BJ7" s="61"/>
      <c r="BK7" s="61">
        <v>1</v>
      </c>
      <c r="BL7" s="61" t="s">
        <v>214</v>
      </c>
      <c r="BM7" s="61"/>
      <c r="BN7" s="61">
        <v>1</v>
      </c>
      <c r="BO7" s="61" t="s">
        <v>215</v>
      </c>
      <c r="BP7" s="61"/>
      <c r="BQ7" s="61">
        <v>1</v>
      </c>
      <c r="BR7" s="61" t="s">
        <v>216</v>
      </c>
      <c r="BS7" s="61"/>
      <c r="BT7" s="61">
        <v>1</v>
      </c>
      <c r="BU7" s="61" t="s">
        <v>217</v>
      </c>
      <c r="BV7" s="61">
        <v>1</v>
      </c>
      <c r="BW7" s="61"/>
      <c r="BX7" s="61" t="s">
        <v>218</v>
      </c>
      <c r="BY7" s="61">
        <v>1</v>
      </c>
      <c r="BZ7" s="61"/>
      <c r="CA7" s="61" t="s">
        <v>327</v>
      </c>
      <c r="CB7" s="61">
        <v>0</v>
      </c>
      <c r="CC7" s="61"/>
      <c r="CD7" s="61" t="s">
        <v>271</v>
      </c>
      <c r="CE7" s="61">
        <v>1</v>
      </c>
      <c r="CF7" s="61"/>
      <c r="CG7" s="61" t="s">
        <v>221</v>
      </c>
      <c r="CH7" s="61">
        <v>1</v>
      </c>
      <c r="CI7" s="61"/>
      <c r="CJ7" s="61" t="s">
        <v>222</v>
      </c>
      <c r="CK7" s="61"/>
      <c r="CL7" s="61">
        <v>1</v>
      </c>
      <c r="CM7" s="61" t="s">
        <v>223</v>
      </c>
      <c r="CN7" s="61"/>
      <c r="CO7" s="61">
        <v>1</v>
      </c>
      <c r="CP7" s="61" t="s">
        <v>224</v>
      </c>
      <c r="CQ7" s="61"/>
      <c r="CR7" s="61">
        <v>1</v>
      </c>
      <c r="CS7" s="61" t="s">
        <v>225</v>
      </c>
      <c r="CT7" s="61"/>
      <c r="CU7" s="61">
        <v>1</v>
      </c>
      <c r="CV7" s="61" t="s">
        <v>226</v>
      </c>
      <c r="CW7" s="61"/>
      <c r="CX7" s="61">
        <v>1</v>
      </c>
      <c r="CY7" s="61" t="s">
        <v>227</v>
      </c>
      <c r="CZ7" s="61"/>
      <c r="DA7" s="61">
        <v>1</v>
      </c>
      <c r="DB7" s="61" t="s">
        <v>228</v>
      </c>
      <c r="DC7" s="61"/>
      <c r="DD7" s="61">
        <v>1</v>
      </c>
      <c r="DE7" s="61" t="s">
        <v>229</v>
      </c>
      <c r="DF7" s="61"/>
      <c r="DG7" s="61">
        <v>1</v>
      </c>
      <c r="DH7" s="61" t="s">
        <v>230</v>
      </c>
      <c r="DI7" s="61"/>
      <c r="DJ7" s="61">
        <v>1</v>
      </c>
      <c r="DK7" s="61" t="s">
        <v>231</v>
      </c>
      <c r="DL7" s="61"/>
      <c r="DM7" s="61">
        <v>1</v>
      </c>
      <c r="DN7" s="61" t="s">
        <v>232</v>
      </c>
      <c r="DO7" s="61"/>
      <c r="DP7" s="61">
        <v>1</v>
      </c>
      <c r="DQ7" s="61" t="s">
        <v>233</v>
      </c>
      <c r="DR7" s="61"/>
      <c r="DS7" s="61">
        <v>1</v>
      </c>
      <c r="DT7" s="61" t="s">
        <v>234</v>
      </c>
      <c r="DU7" s="61"/>
      <c r="DV7" s="61">
        <v>1</v>
      </c>
      <c r="DW7" s="61" t="s">
        <v>235</v>
      </c>
      <c r="DX7" s="61"/>
      <c r="DY7" s="61">
        <v>1</v>
      </c>
      <c r="DZ7" s="61" t="s">
        <v>328</v>
      </c>
      <c r="EA7" s="61"/>
      <c r="EB7" s="61">
        <v>0</v>
      </c>
      <c r="EC7" s="61" t="s">
        <v>297</v>
      </c>
      <c r="ED7" s="61"/>
      <c r="EE7" s="61">
        <v>0</v>
      </c>
      <c r="EF7" s="61" t="s">
        <v>238</v>
      </c>
      <c r="EG7" s="61"/>
      <c r="EH7" s="61">
        <v>1</v>
      </c>
      <c r="EI7" s="61" t="s">
        <v>239</v>
      </c>
      <c r="EJ7" s="61"/>
      <c r="EK7" s="61">
        <v>1</v>
      </c>
      <c r="EL7" s="61" t="s">
        <v>277</v>
      </c>
      <c r="EM7" s="61"/>
      <c r="EN7" s="61">
        <v>0</v>
      </c>
      <c r="EO7" s="61" t="s">
        <v>329</v>
      </c>
      <c r="EP7" s="61"/>
      <c r="EQ7" s="61">
        <v>0</v>
      </c>
      <c r="ER7" s="61" t="s">
        <v>278</v>
      </c>
      <c r="ES7" s="61"/>
      <c r="ET7" s="61">
        <v>0</v>
      </c>
      <c r="EU7" s="61" t="s">
        <v>243</v>
      </c>
      <c r="EV7" s="61"/>
      <c r="EW7" s="61">
        <v>1</v>
      </c>
      <c r="EX7" s="61" t="s">
        <v>330</v>
      </c>
      <c r="EY7" s="61"/>
      <c r="EZ7" s="61">
        <v>0</v>
      </c>
      <c r="FA7" s="61" t="s">
        <v>245</v>
      </c>
      <c r="FB7" s="61"/>
      <c r="FC7" s="61">
        <v>1</v>
      </c>
      <c r="FD7" s="61" t="s">
        <v>246</v>
      </c>
      <c r="FE7" s="61"/>
      <c r="FF7" s="61">
        <v>1</v>
      </c>
      <c r="FG7" s="61" t="s">
        <v>331</v>
      </c>
      <c r="FH7" s="61"/>
      <c r="FI7" s="61">
        <v>0</v>
      </c>
      <c r="FJ7" s="61" t="s">
        <v>298</v>
      </c>
      <c r="FK7" s="61"/>
      <c r="FL7" s="61">
        <v>1</v>
      </c>
      <c r="FM7" s="61" t="s">
        <v>311</v>
      </c>
      <c r="FN7" s="61"/>
      <c r="FO7" s="61">
        <v>0</v>
      </c>
      <c r="FP7" s="61" t="s">
        <v>332</v>
      </c>
      <c r="FQ7" s="61"/>
      <c r="FR7" s="61">
        <v>0</v>
      </c>
      <c r="FS7" s="61" t="s">
        <v>251</v>
      </c>
      <c r="FT7" s="61"/>
      <c r="FU7" s="61">
        <v>1</v>
      </c>
      <c r="FV7" s="61" t="s">
        <v>252</v>
      </c>
      <c r="FW7" s="61"/>
      <c r="FX7" s="61">
        <v>1</v>
      </c>
      <c r="FY7" s="61" t="s">
        <v>253</v>
      </c>
      <c r="FZ7" s="61"/>
      <c r="GA7" s="61">
        <v>1</v>
      </c>
      <c r="GB7" s="61" t="s">
        <v>333</v>
      </c>
      <c r="GC7" s="61"/>
      <c r="GD7" s="61">
        <v>0</v>
      </c>
      <c r="GE7" s="61" t="s">
        <v>284</v>
      </c>
      <c r="GF7" s="61"/>
      <c r="GG7" s="61">
        <v>0</v>
      </c>
      <c r="GH7" s="61" t="s">
        <v>256</v>
      </c>
      <c r="GI7" s="61"/>
      <c r="GJ7" s="61">
        <v>1</v>
      </c>
      <c r="GK7" s="61" t="s">
        <v>322</v>
      </c>
      <c r="GL7" s="61"/>
      <c r="GM7" s="61">
        <v>0</v>
      </c>
    </row>
    <row r="8" spans="1:195">
      <c r="A8" s="62">
        <v>7</v>
      </c>
      <c r="B8" s="61" t="s">
        <v>334</v>
      </c>
      <c r="C8" s="61" t="s">
        <v>335</v>
      </c>
      <c r="D8" s="61" t="s">
        <v>197</v>
      </c>
      <c r="E8" s="61"/>
      <c r="F8" s="61">
        <v>48</v>
      </c>
      <c r="G8" s="61"/>
      <c r="H8" s="61"/>
      <c r="I8" s="61"/>
      <c r="J8" s="61"/>
      <c r="K8" s="61"/>
      <c r="L8" s="65" t="s">
        <v>591</v>
      </c>
      <c r="M8" s="61" t="s">
        <v>592</v>
      </c>
      <c r="N8" s="61"/>
      <c r="O8" s="61"/>
      <c r="P8" s="61" t="s">
        <v>198</v>
      </c>
      <c r="Q8" s="61">
        <v>0</v>
      </c>
      <c r="R8" s="61"/>
      <c r="S8" s="61" t="s">
        <v>199</v>
      </c>
      <c r="T8" s="61">
        <v>1</v>
      </c>
      <c r="U8" s="61"/>
      <c r="V8" s="61" t="s">
        <v>200</v>
      </c>
      <c r="W8" s="61">
        <v>1</v>
      </c>
      <c r="X8" s="61"/>
      <c r="Y8" s="61" t="s">
        <v>261</v>
      </c>
      <c r="Z8" s="61">
        <v>1</v>
      </c>
      <c r="AA8" s="61"/>
      <c r="AB8" s="61" t="s">
        <v>336</v>
      </c>
      <c r="AC8" s="61"/>
      <c r="AD8" s="61">
        <v>0</v>
      </c>
      <c r="AE8" s="61" t="s">
        <v>337</v>
      </c>
      <c r="AF8" s="61"/>
      <c r="AG8" s="61">
        <v>0</v>
      </c>
      <c r="AH8" s="61" t="s">
        <v>204</v>
      </c>
      <c r="AI8" s="61"/>
      <c r="AJ8" s="61">
        <v>1</v>
      </c>
      <c r="AK8" s="61" t="s">
        <v>205</v>
      </c>
      <c r="AL8" s="61"/>
      <c r="AM8" s="61">
        <v>1</v>
      </c>
      <c r="AN8" s="61" t="s">
        <v>206</v>
      </c>
      <c r="AO8" s="61"/>
      <c r="AP8" s="61">
        <v>1</v>
      </c>
      <c r="AQ8" s="61" t="s">
        <v>207</v>
      </c>
      <c r="AR8" s="61"/>
      <c r="AS8" s="61">
        <v>1</v>
      </c>
      <c r="AT8" s="61" t="s">
        <v>338</v>
      </c>
      <c r="AU8" s="61"/>
      <c r="AV8" s="61">
        <v>0</v>
      </c>
      <c r="AW8" s="61" t="s">
        <v>209</v>
      </c>
      <c r="AX8" s="61"/>
      <c r="AY8" s="61">
        <v>1</v>
      </c>
      <c r="AZ8" s="61" t="s">
        <v>210</v>
      </c>
      <c r="BA8" s="61"/>
      <c r="BB8" s="61">
        <v>1</v>
      </c>
      <c r="BC8" s="61" t="s">
        <v>211</v>
      </c>
      <c r="BD8" s="61"/>
      <c r="BE8" s="61">
        <v>1</v>
      </c>
      <c r="BF8" s="61" t="s">
        <v>267</v>
      </c>
      <c r="BG8" s="61"/>
      <c r="BH8" s="61">
        <v>0</v>
      </c>
      <c r="BI8" s="61" t="s">
        <v>213</v>
      </c>
      <c r="BJ8" s="61"/>
      <c r="BK8" s="61">
        <v>1</v>
      </c>
      <c r="BL8" s="61" t="s">
        <v>214</v>
      </c>
      <c r="BM8" s="61"/>
      <c r="BN8" s="61">
        <v>1</v>
      </c>
      <c r="BO8" s="61" t="s">
        <v>215</v>
      </c>
      <c r="BP8" s="61"/>
      <c r="BQ8" s="61">
        <v>1</v>
      </c>
      <c r="BR8" s="61" t="s">
        <v>216</v>
      </c>
      <c r="BS8" s="61"/>
      <c r="BT8" s="61">
        <v>1</v>
      </c>
      <c r="BU8" s="61" t="s">
        <v>217</v>
      </c>
      <c r="BV8" s="61">
        <v>1</v>
      </c>
      <c r="BW8" s="61"/>
      <c r="BX8" s="61" t="s">
        <v>218</v>
      </c>
      <c r="BY8" s="61">
        <v>1</v>
      </c>
      <c r="BZ8" s="61"/>
      <c r="CA8" s="61" t="s">
        <v>219</v>
      </c>
      <c r="CB8" s="61">
        <v>1</v>
      </c>
      <c r="CC8" s="61"/>
      <c r="CD8" s="61" t="s">
        <v>271</v>
      </c>
      <c r="CE8" s="61">
        <v>1</v>
      </c>
      <c r="CF8" s="61"/>
      <c r="CG8" s="61" t="s">
        <v>221</v>
      </c>
      <c r="CH8" s="61">
        <v>1</v>
      </c>
      <c r="CI8" s="61"/>
      <c r="CJ8" s="61" t="s">
        <v>222</v>
      </c>
      <c r="CK8" s="61"/>
      <c r="CL8" s="61">
        <v>1</v>
      </c>
      <c r="CM8" s="61" t="s">
        <v>223</v>
      </c>
      <c r="CN8" s="61"/>
      <c r="CO8" s="61">
        <v>1</v>
      </c>
      <c r="CP8" s="61" t="s">
        <v>224</v>
      </c>
      <c r="CQ8" s="61"/>
      <c r="CR8" s="61">
        <v>1</v>
      </c>
      <c r="CS8" s="61" t="s">
        <v>225</v>
      </c>
      <c r="CT8" s="61"/>
      <c r="CU8" s="61">
        <v>1</v>
      </c>
      <c r="CV8" s="61" t="s">
        <v>226</v>
      </c>
      <c r="CW8" s="61"/>
      <c r="CX8" s="61">
        <v>1</v>
      </c>
      <c r="CY8" s="61" t="s">
        <v>227</v>
      </c>
      <c r="CZ8" s="61"/>
      <c r="DA8" s="61">
        <v>1</v>
      </c>
      <c r="DB8" s="61" t="s">
        <v>228</v>
      </c>
      <c r="DC8" s="61"/>
      <c r="DD8" s="61">
        <v>1</v>
      </c>
      <c r="DE8" s="61" t="s">
        <v>273</v>
      </c>
      <c r="DF8" s="61"/>
      <c r="DG8" s="61">
        <v>0</v>
      </c>
      <c r="DH8" s="61" t="s">
        <v>230</v>
      </c>
      <c r="DI8" s="61"/>
      <c r="DJ8" s="61">
        <v>1</v>
      </c>
      <c r="DK8" s="61" t="s">
        <v>231</v>
      </c>
      <c r="DL8" s="61"/>
      <c r="DM8" s="61">
        <v>1</v>
      </c>
      <c r="DN8" s="61" t="s">
        <v>232</v>
      </c>
      <c r="DO8" s="61"/>
      <c r="DP8" s="61">
        <v>1</v>
      </c>
      <c r="DQ8" s="61" t="s">
        <v>233</v>
      </c>
      <c r="DR8" s="61"/>
      <c r="DS8" s="61">
        <v>1</v>
      </c>
      <c r="DT8" s="61" t="s">
        <v>234</v>
      </c>
      <c r="DU8" s="61"/>
      <c r="DV8" s="61">
        <v>1</v>
      </c>
      <c r="DW8" s="61" t="s">
        <v>235</v>
      </c>
      <c r="DX8" s="61"/>
      <c r="DY8" s="61">
        <v>1</v>
      </c>
      <c r="DZ8" s="61" t="s">
        <v>275</v>
      </c>
      <c r="EA8" s="61"/>
      <c r="EB8" s="61">
        <v>0</v>
      </c>
      <c r="EC8" s="61" t="s">
        <v>339</v>
      </c>
      <c r="ED8" s="61"/>
      <c r="EE8" s="61">
        <v>0</v>
      </c>
      <c r="EF8" s="61" t="s">
        <v>238</v>
      </c>
      <c r="EG8" s="61"/>
      <c r="EH8" s="61">
        <v>1</v>
      </c>
      <c r="EI8" s="61" t="s">
        <v>239</v>
      </c>
      <c r="EJ8" s="61"/>
      <c r="EK8" s="61">
        <v>1</v>
      </c>
      <c r="EL8" s="61" t="s">
        <v>240</v>
      </c>
      <c r="EM8" s="61"/>
      <c r="EN8" s="61">
        <v>1</v>
      </c>
      <c r="EO8" s="61" t="s">
        <v>241</v>
      </c>
      <c r="EP8" s="61"/>
      <c r="EQ8" s="61">
        <v>1</v>
      </c>
      <c r="ER8" s="61" t="s">
        <v>242</v>
      </c>
      <c r="ES8" s="61"/>
      <c r="ET8" s="61">
        <v>1</v>
      </c>
      <c r="EU8" s="61" t="s">
        <v>243</v>
      </c>
      <c r="EV8" s="61"/>
      <c r="EW8" s="61">
        <v>1</v>
      </c>
      <c r="EX8" s="61" t="s">
        <v>340</v>
      </c>
      <c r="EY8" s="61"/>
      <c r="EZ8" s="61">
        <v>0</v>
      </c>
      <c r="FA8" s="61" t="s">
        <v>321</v>
      </c>
      <c r="FB8" s="61"/>
      <c r="FC8" s="61">
        <v>0</v>
      </c>
      <c r="FD8" s="61" t="s">
        <v>246</v>
      </c>
      <c r="FE8" s="61"/>
      <c r="FF8" s="61">
        <v>1</v>
      </c>
      <c r="FG8" s="61" t="s">
        <v>247</v>
      </c>
      <c r="FH8" s="61"/>
      <c r="FI8" s="61">
        <v>1</v>
      </c>
      <c r="FJ8" s="61" t="s">
        <v>298</v>
      </c>
      <c r="FK8" s="61"/>
      <c r="FL8" s="61">
        <v>1</v>
      </c>
      <c r="FM8" s="61" t="s">
        <v>249</v>
      </c>
      <c r="FN8" s="61"/>
      <c r="FO8" s="61">
        <v>1</v>
      </c>
      <c r="FP8" s="61" t="s">
        <v>250</v>
      </c>
      <c r="FQ8" s="61"/>
      <c r="FR8" s="61">
        <v>1</v>
      </c>
      <c r="FS8" s="61" t="s">
        <v>251</v>
      </c>
      <c r="FT8" s="61"/>
      <c r="FU8" s="61">
        <v>1</v>
      </c>
      <c r="FV8" s="61" t="s">
        <v>252</v>
      </c>
      <c r="FW8" s="61"/>
      <c r="FX8" s="61">
        <v>1</v>
      </c>
      <c r="FY8" s="61" t="s">
        <v>253</v>
      </c>
      <c r="FZ8" s="61"/>
      <c r="GA8" s="61">
        <v>1</v>
      </c>
      <c r="GB8" s="61" t="s">
        <v>254</v>
      </c>
      <c r="GC8" s="61"/>
      <c r="GD8" s="61">
        <v>1</v>
      </c>
      <c r="GE8" s="61" t="s">
        <v>255</v>
      </c>
      <c r="GF8" s="61"/>
      <c r="GG8" s="61">
        <v>1</v>
      </c>
      <c r="GH8" s="61" t="s">
        <v>285</v>
      </c>
      <c r="GI8" s="61"/>
      <c r="GJ8" s="61">
        <v>0</v>
      </c>
      <c r="GK8" s="61" t="s">
        <v>286</v>
      </c>
      <c r="GL8" s="61"/>
      <c r="GM8" s="61">
        <v>0</v>
      </c>
    </row>
    <row r="9" spans="1:195">
      <c r="A9" s="62">
        <v>8</v>
      </c>
      <c r="B9" s="61" t="s">
        <v>341</v>
      </c>
      <c r="C9" s="61" t="s">
        <v>342</v>
      </c>
      <c r="D9" s="61" t="s">
        <v>197</v>
      </c>
      <c r="E9" s="61"/>
      <c r="F9" s="61">
        <v>39</v>
      </c>
      <c r="G9" s="61"/>
      <c r="H9" s="61"/>
      <c r="I9" s="61"/>
      <c r="J9" s="61"/>
      <c r="K9" s="61"/>
      <c r="L9" s="65" t="s">
        <v>593</v>
      </c>
      <c r="M9" s="61" t="s">
        <v>594</v>
      </c>
      <c r="N9" s="61"/>
      <c r="O9" s="61"/>
      <c r="P9" s="61" t="s">
        <v>198</v>
      </c>
      <c r="Q9" s="61">
        <v>0</v>
      </c>
      <c r="R9" s="61"/>
      <c r="S9" s="61" t="s">
        <v>199</v>
      </c>
      <c r="T9" s="61">
        <v>1</v>
      </c>
      <c r="U9" s="61"/>
      <c r="V9" s="61" t="s">
        <v>200</v>
      </c>
      <c r="W9" s="61">
        <v>1</v>
      </c>
      <c r="X9" s="61"/>
      <c r="Y9" s="61" t="s">
        <v>201</v>
      </c>
      <c r="Z9" s="61">
        <v>0</v>
      </c>
      <c r="AA9" s="61"/>
      <c r="AB9" s="61" t="s">
        <v>202</v>
      </c>
      <c r="AC9" s="61"/>
      <c r="AD9" s="61">
        <v>0</v>
      </c>
      <c r="AE9" s="61" t="s">
        <v>262</v>
      </c>
      <c r="AF9" s="61"/>
      <c r="AG9" s="61">
        <v>0</v>
      </c>
      <c r="AH9" s="61" t="s">
        <v>204</v>
      </c>
      <c r="AI9" s="61"/>
      <c r="AJ9" s="61">
        <v>1</v>
      </c>
      <c r="AK9" s="61" t="s">
        <v>264</v>
      </c>
      <c r="AL9" s="61"/>
      <c r="AM9" s="61">
        <v>0</v>
      </c>
      <c r="AN9" s="61" t="s">
        <v>206</v>
      </c>
      <c r="AO9" s="61"/>
      <c r="AP9" s="61">
        <v>1</v>
      </c>
      <c r="AQ9" s="61" t="s">
        <v>207</v>
      </c>
      <c r="AR9" s="61"/>
      <c r="AS9" s="61">
        <v>1</v>
      </c>
      <c r="AT9" s="61" t="s">
        <v>208</v>
      </c>
      <c r="AU9" s="61"/>
      <c r="AV9" s="61">
        <v>1</v>
      </c>
      <c r="AW9" s="61" t="s">
        <v>265</v>
      </c>
      <c r="AX9" s="61"/>
      <c r="AY9" s="61">
        <v>0</v>
      </c>
      <c r="AZ9" s="61" t="s">
        <v>210</v>
      </c>
      <c r="BA9" s="61"/>
      <c r="BB9" s="61">
        <v>1</v>
      </c>
      <c r="BC9" s="61" t="s">
        <v>343</v>
      </c>
      <c r="BD9" s="61"/>
      <c r="BE9" s="61">
        <v>0</v>
      </c>
      <c r="BF9" s="61" t="s">
        <v>212</v>
      </c>
      <c r="BG9" s="61"/>
      <c r="BH9" s="61">
        <v>1</v>
      </c>
      <c r="BI9" s="61" t="s">
        <v>213</v>
      </c>
      <c r="BJ9" s="61"/>
      <c r="BK9" s="61">
        <v>1</v>
      </c>
      <c r="BL9" s="61" t="s">
        <v>344</v>
      </c>
      <c r="BM9" s="61"/>
      <c r="BN9" s="61">
        <v>0</v>
      </c>
      <c r="BO9" s="61" t="s">
        <v>215</v>
      </c>
      <c r="BP9" s="61"/>
      <c r="BQ9" s="61">
        <v>1</v>
      </c>
      <c r="BR9" s="61" t="s">
        <v>216</v>
      </c>
      <c r="BS9" s="61"/>
      <c r="BT9" s="61">
        <v>1</v>
      </c>
      <c r="BU9" s="61" t="s">
        <v>345</v>
      </c>
      <c r="BV9" s="61">
        <v>0</v>
      </c>
      <c r="BW9" s="61"/>
      <c r="BX9" s="61" t="s">
        <v>269</v>
      </c>
      <c r="BY9" s="61">
        <v>0</v>
      </c>
      <c r="BZ9" s="61"/>
      <c r="CA9" s="61" t="s">
        <v>295</v>
      </c>
      <c r="CB9" s="61">
        <v>0</v>
      </c>
      <c r="CC9" s="61"/>
      <c r="CD9" s="61" t="s">
        <v>271</v>
      </c>
      <c r="CE9" s="61">
        <v>1</v>
      </c>
      <c r="CF9" s="61"/>
      <c r="CG9" s="61" t="s">
        <v>221</v>
      </c>
      <c r="CH9" s="61">
        <v>1</v>
      </c>
      <c r="CI9" s="61"/>
      <c r="CJ9" s="61" t="s">
        <v>222</v>
      </c>
      <c r="CK9" s="61"/>
      <c r="CL9" s="61">
        <v>1</v>
      </c>
      <c r="CM9" s="61" t="s">
        <v>346</v>
      </c>
      <c r="CN9" s="61"/>
      <c r="CO9" s="61">
        <v>0</v>
      </c>
      <c r="CP9" s="61" t="s">
        <v>224</v>
      </c>
      <c r="CQ9" s="61"/>
      <c r="CR9" s="61">
        <v>1</v>
      </c>
      <c r="CS9" s="61" t="s">
        <v>225</v>
      </c>
      <c r="CT9" s="61"/>
      <c r="CU9" s="61">
        <v>1</v>
      </c>
      <c r="CV9" s="61" t="s">
        <v>226</v>
      </c>
      <c r="CW9" s="61"/>
      <c r="CX9" s="61">
        <v>1</v>
      </c>
      <c r="CY9" s="61" t="s">
        <v>227</v>
      </c>
      <c r="CZ9" s="61"/>
      <c r="DA9" s="61">
        <v>1</v>
      </c>
      <c r="DB9" s="61" t="s">
        <v>228</v>
      </c>
      <c r="DC9" s="61"/>
      <c r="DD9" s="61">
        <v>1</v>
      </c>
      <c r="DE9" s="61" t="s">
        <v>229</v>
      </c>
      <c r="DF9" s="61"/>
      <c r="DG9" s="61">
        <v>1</v>
      </c>
      <c r="DH9" s="61" t="s">
        <v>230</v>
      </c>
      <c r="DI9" s="61"/>
      <c r="DJ9" s="61">
        <v>1</v>
      </c>
      <c r="DK9" s="61" t="s">
        <v>231</v>
      </c>
      <c r="DL9" s="61"/>
      <c r="DM9" s="61">
        <v>1</v>
      </c>
      <c r="DN9" s="61" t="s">
        <v>232</v>
      </c>
      <c r="DO9" s="61"/>
      <c r="DP9" s="61">
        <v>1</v>
      </c>
      <c r="DQ9" s="61" t="s">
        <v>347</v>
      </c>
      <c r="DR9" s="61"/>
      <c r="DS9" s="61">
        <v>0</v>
      </c>
      <c r="DT9" s="61" t="s">
        <v>234</v>
      </c>
      <c r="DU9" s="61"/>
      <c r="DV9" s="61">
        <v>1</v>
      </c>
      <c r="DW9" s="61" t="s">
        <v>235</v>
      </c>
      <c r="DX9" s="61"/>
      <c r="DY9" s="61">
        <v>1</v>
      </c>
      <c r="DZ9" s="61" t="s">
        <v>328</v>
      </c>
      <c r="EA9" s="61"/>
      <c r="EB9" s="61">
        <v>0</v>
      </c>
      <c r="EC9" s="61" t="s">
        <v>339</v>
      </c>
      <c r="ED9" s="61"/>
      <c r="EE9" s="61">
        <v>0</v>
      </c>
      <c r="EF9" s="61" t="s">
        <v>238</v>
      </c>
      <c r="EG9" s="61"/>
      <c r="EH9" s="61">
        <v>1</v>
      </c>
      <c r="EI9" s="61" t="s">
        <v>239</v>
      </c>
      <c r="EJ9" s="61"/>
      <c r="EK9" s="61">
        <v>1</v>
      </c>
      <c r="EL9" s="61" t="s">
        <v>348</v>
      </c>
      <c r="EM9" s="61"/>
      <c r="EN9" s="61">
        <v>0</v>
      </c>
      <c r="EO9" s="61" t="s">
        <v>241</v>
      </c>
      <c r="EP9" s="61"/>
      <c r="EQ9" s="61">
        <v>1</v>
      </c>
      <c r="ER9" s="61" t="s">
        <v>242</v>
      </c>
      <c r="ES9" s="61"/>
      <c r="ET9" s="61">
        <v>1</v>
      </c>
      <c r="EU9" s="61" t="s">
        <v>243</v>
      </c>
      <c r="EV9" s="61"/>
      <c r="EW9" s="61">
        <v>1</v>
      </c>
      <c r="EX9" s="61" t="s">
        <v>244</v>
      </c>
      <c r="EY9" s="61"/>
      <c r="EZ9" s="61">
        <v>1</v>
      </c>
      <c r="FA9" s="61" t="s">
        <v>245</v>
      </c>
      <c r="FB9" s="61"/>
      <c r="FC9" s="61">
        <v>1</v>
      </c>
      <c r="FD9" s="61" t="s">
        <v>246</v>
      </c>
      <c r="FE9" s="61"/>
      <c r="FF9" s="61">
        <v>1</v>
      </c>
      <c r="FG9" s="61" t="s">
        <v>247</v>
      </c>
      <c r="FH9" s="61"/>
      <c r="FI9" s="61">
        <v>1</v>
      </c>
      <c r="FJ9" s="61" t="s">
        <v>349</v>
      </c>
      <c r="FK9" s="61"/>
      <c r="FL9" s="61">
        <v>0</v>
      </c>
      <c r="FM9" s="61" t="s">
        <v>311</v>
      </c>
      <c r="FN9" s="61"/>
      <c r="FO9" s="61">
        <v>0</v>
      </c>
      <c r="FP9" s="61" t="s">
        <v>250</v>
      </c>
      <c r="FQ9" s="61"/>
      <c r="FR9" s="61">
        <v>1</v>
      </c>
      <c r="FS9" s="61" t="s">
        <v>251</v>
      </c>
      <c r="FT9" s="61"/>
      <c r="FU9" s="61">
        <v>1</v>
      </c>
      <c r="FV9" s="61" t="s">
        <v>252</v>
      </c>
      <c r="FW9" s="61"/>
      <c r="FX9" s="61">
        <v>1</v>
      </c>
      <c r="FY9" s="61" t="s">
        <v>253</v>
      </c>
      <c r="FZ9" s="61"/>
      <c r="GA9" s="61">
        <v>1</v>
      </c>
      <c r="GB9" s="61" t="s">
        <v>333</v>
      </c>
      <c r="GC9" s="61"/>
      <c r="GD9" s="61">
        <v>0</v>
      </c>
      <c r="GE9" s="61" t="s">
        <v>284</v>
      </c>
      <c r="GF9" s="61"/>
      <c r="GG9" s="61">
        <v>0</v>
      </c>
      <c r="GH9" s="61" t="s">
        <v>256</v>
      </c>
      <c r="GI9" s="61"/>
      <c r="GJ9" s="61">
        <v>1</v>
      </c>
      <c r="GK9" s="61" t="s">
        <v>322</v>
      </c>
      <c r="GL9" s="61"/>
      <c r="GM9" s="61">
        <v>0</v>
      </c>
    </row>
    <row r="10" spans="1:195">
      <c r="A10" s="62">
        <v>9</v>
      </c>
      <c r="B10" s="61" t="s">
        <v>350</v>
      </c>
      <c r="C10" s="61" t="s">
        <v>351</v>
      </c>
      <c r="D10" s="61" t="s">
        <v>197</v>
      </c>
      <c r="E10" s="61"/>
      <c r="F10" s="61">
        <v>43</v>
      </c>
      <c r="G10" s="61"/>
      <c r="H10" s="61"/>
      <c r="I10" s="61"/>
      <c r="J10" s="61"/>
      <c r="K10" s="61"/>
      <c r="L10" s="65" t="s">
        <v>595</v>
      </c>
      <c r="M10" s="61" t="s">
        <v>596</v>
      </c>
      <c r="N10" s="61"/>
      <c r="O10" s="61"/>
      <c r="P10" s="61" t="s">
        <v>198</v>
      </c>
      <c r="Q10" s="61">
        <v>0</v>
      </c>
      <c r="R10" s="61"/>
      <c r="S10" s="61" t="s">
        <v>199</v>
      </c>
      <c r="T10" s="61">
        <v>1</v>
      </c>
      <c r="U10" s="61"/>
      <c r="V10" s="61" t="s">
        <v>200</v>
      </c>
      <c r="W10" s="61">
        <v>1</v>
      </c>
      <c r="X10" s="61"/>
      <c r="Y10" s="61" t="s">
        <v>325</v>
      </c>
      <c r="Z10" s="61">
        <v>0</v>
      </c>
      <c r="AA10" s="61"/>
      <c r="AB10" s="61" t="s">
        <v>202</v>
      </c>
      <c r="AC10" s="61"/>
      <c r="AD10" s="61">
        <v>0</v>
      </c>
      <c r="AE10" s="61" t="s">
        <v>262</v>
      </c>
      <c r="AF10" s="61"/>
      <c r="AG10" s="61">
        <v>0</v>
      </c>
      <c r="AH10" s="61" t="s">
        <v>204</v>
      </c>
      <c r="AI10" s="61"/>
      <c r="AJ10" s="61">
        <v>1</v>
      </c>
      <c r="AK10" s="61" t="s">
        <v>205</v>
      </c>
      <c r="AL10" s="61"/>
      <c r="AM10" s="61">
        <v>1</v>
      </c>
      <c r="AN10" s="61" t="s">
        <v>206</v>
      </c>
      <c r="AO10" s="61"/>
      <c r="AP10" s="61">
        <v>1</v>
      </c>
      <c r="AQ10" s="61" t="s">
        <v>207</v>
      </c>
      <c r="AR10" s="61"/>
      <c r="AS10" s="61">
        <v>1</v>
      </c>
      <c r="AT10" s="61" t="s">
        <v>292</v>
      </c>
      <c r="AU10" s="61"/>
      <c r="AV10" s="61">
        <v>0</v>
      </c>
      <c r="AW10" s="61" t="s">
        <v>209</v>
      </c>
      <c r="AX10" s="61"/>
      <c r="AY10" s="61">
        <v>1</v>
      </c>
      <c r="AZ10" s="61" t="s">
        <v>210</v>
      </c>
      <c r="BA10" s="61"/>
      <c r="BB10" s="61">
        <v>1</v>
      </c>
      <c r="BC10" s="61" t="s">
        <v>211</v>
      </c>
      <c r="BD10" s="61"/>
      <c r="BE10" s="61">
        <v>1</v>
      </c>
      <c r="BF10" s="61" t="s">
        <v>267</v>
      </c>
      <c r="BG10" s="61"/>
      <c r="BH10" s="61">
        <v>0</v>
      </c>
      <c r="BI10" s="61" t="s">
        <v>213</v>
      </c>
      <c r="BJ10" s="61"/>
      <c r="BK10" s="61">
        <v>1</v>
      </c>
      <c r="BL10" s="61" t="s">
        <v>214</v>
      </c>
      <c r="BM10" s="61"/>
      <c r="BN10" s="61">
        <v>1</v>
      </c>
      <c r="BO10" s="61" t="s">
        <v>215</v>
      </c>
      <c r="BP10" s="61"/>
      <c r="BQ10" s="61">
        <v>1</v>
      </c>
      <c r="BR10" s="61" t="s">
        <v>216</v>
      </c>
      <c r="BS10" s="61"/>
      <c r="BT10" s="61">
        <v>1</v>
      </c>
      <c r="BU10" s="61" t="s">
        <v>217</v>
      </c>
      <c r="BV10" s="61">
        <v>1</v>
      </c>
      <c r="BW10" s="61"/>
      <c r="BX10" s="61" t="s">
        <v>218</v>
      </c>
      <c r="BY10" s="61">
        <v>1</v>
      </c>
      <c r="BZ10" s="61"/>
      <c r="CA10" s="61" t="s">
        <v>219</v>
      </c>
      <c r="CB10" s="61">
        <v>1</v>
      </c>
      <c r="CC10" s="61"/>
      <c r="CD10" s="61" t="s">
        <v>271</v>
      </c>
      <c r="CE10" s="61">
        <v>1</v>
      </c>
      <c r="CF10" s="61"/>
      <c r="CG10" s="61" t="s">
        <v>221</v>
      </c>
      <c r="CH10" s="61">
        <v>1</v>
      </c>
      <c r="CI10" s="61"/>
      <c r="CJ10" s="61" t="s">
        <v>222</v>
      </c>
      <c r="CK10" s="61"/>
      <c r="CL10" s="61">
        <v>1</v>
      </c>
      <c r="CM10" s="61" t="s">
        <v>223</v>
      </c>
      <c r="CN10" s="61"/>
      <c r="CO10" s="61">
        <v>1</v>
      </c>
      <c r="CP10" s="61" t="s">
        <v>224</v>
      </c>
      <c r="CQ10" s="61"/>
      <c r="CR10" s="61">
        <v>1</v>
      </c>
      <c r="CS10" s="61" t="s">
        <v>352</v>
      </c>
      <c r="CT10" s="61"/>
      <c r="CU10" s="61">
        <v>0</v>
      </c>
      <c r="CV10" s="61" t="s">
        <v>226</v>
      </c>
      <c r="CW10" s="61"/>
      <c r="CX10" s="61">
        <v>1</v>
      </c>
      <c r="CY10" s="61" t="s">
        <v>227</v>
      </c>
      <c r="CZ10" s="61"/>
      <c r="DA10" s="61">
        <v>1</v>
      </c>
      <c r="DB10" s="61" t="s">
        <v>228</v>
      </c>
      <c r="DC10" s="61"/>
      <c r="DD10" s="61">
        <v>1</v>
      </c>
      <c r="DE10" s="61" t="s">
        <v>273</v>
      </c>
      <c r="DF10" s="61"/>
      <c r="DG10" s="61">
        <v>0</v>
      </c>
      <c r="DH10" s="61" t="s">
        <v>230</v>
      </c>
      <c r="DI10" s="61"/>
      <c r="DJ10" s="61">
        <v>1</v>
      </c>
      <c r="DK10" s="61" t="s">
        <v>231</v>
      </c>
      <c r="DL10" s="61"/>
      <c r="DM10" s="61">
        <v>1</v>
      </c>
      <c r="DN10" s="61" t="s">
        <v>232</v>
      </c>
      <c r="DO10" s="61"/>
      <c r="DP10" s="61">
        <v>1</v>
      </c>
      <c r="DQ10" s="61" t="s">
        <v>233</v>
      </c>
      <c r="DR10" s="61"/>
      <c r="DS10" s="61">
        <v>1</v>
      </c>
      <c r="DT10" s="61" t="s">
        <v>234</v>
      </c>
      <c r="DU10" s="61"/>
      <c r="DV10" s="61">
        <v>1</v>
      </c>
      <c r="DW10" s="61" t="s">
        <v>235</v>
      </c>
      <c r="DX10" s="61"/>
      <c r="DY10" s="61">
        <v>1</v>
      </c>
      <c r="DZ10" s="61" t="s">
        <v>236</v>
      </c>
      <c r="EA10" s="61"/>
      <c r="EB10" s="61">
        <v>1</v>
      </c>
      <c r="EC10" s="61" t="s">
        <v>237</v>
      </c>
      <c r="ED10" s="61"/>
      <c r="EE10" s="61">
        <v>1</v>
      </c>
      <c r="EF10" s="61" t="s">
        <v>238</v>
      </c>
      <c r="EG10" s="61"/>
      <c r="EH10" s="61">
        <v>1</v>
      </c>
      <c r="EI10" s="61" t="s">
        <v>239</v>
      </c>
      <c r="EJ10" s="61"/>
      <c r="EK10" s="61">
        <v>1</v>
      </c>
      <c r="EL10" s="61" t="s">
        <v>348</v>
      </c>
      <c r="EM10" s="61"/>
      <c r="EN10" s="61">
        <v>0</v>
      </c>
      <c r="EO10" s="61" t="s">
        <v>353</v>
      </c>
      <c r="EP10" s="61"/>
      <c r="EQ10" s="61">
        <v>0</v>
      </c>
      <c r="ER10" s="61" t="s">
        <v>278</v>
      </c>
      <c r="ES10" s="61"/>
      <c r="ET10" s="61">
        <v>0</v>
      </c>
      <c r="EU10" s="61" t="s">
        <v>243</v>
      </c>
      <c r="EV10" s="61"/>
      <c r="EW10" s="61">
        <v>1</v>
      </c>
      <c r="EX10" s="61" t="s">
        <v>279</v>
      </c>
      <c r="EY10" s="61"/>
      <c r="EZ10" s="61">
        <v>0</v>
      </c>
      <c r="FA10" s="61" t="s">
        <v>245</v>
      </c>
      <c r="FB10" s="61"/>
      <c r="FC10" s="61">
        <v>1</v>
      </c>
      <c r="FD10" s="61" t="s">
        <v>246</v>
      </c>
      <c r="FE10" s="61"/>
      <c r="FF10" s="61">
        <v>1</v>
      </c>
      <c r="FG10" s="61" t="s">
        <v>247</v>
      </c>
      <c r="FH10" s="61"/>
      <c r="FI10" s="61">
        <v>1</v>
      </c>
      <c r="FJ10" s="61" t="s">
        <v>298</v>
      </c>
      <c r="FK10" s="61"/>
      <c r="FL10" s="61">
        <v>1</v>
      </c>
      <c r="FM10" s="61" t="s">
        <v>354</v>
      </c>
      <c r="FN10" s="61"/>
      <c r="FO10" s="61">
        <v>0</v>
      </c>
      <c r="FP10" s="61" t="s">
        <v>250</v>
      </c>
      <c r="FQ10" s="61"/>
      <c r="FR10" s="61">
        <v>1</v>
      </c>
      <c r="FS10" s="61" t="s">
        <v>251</v>
      </c>
      <c r="FT10" s="61"/>
      <c r="FU10" s="61">
        <v>1</v>
      </c>
      <c r="FV10" s="61" t="s">
        <v>252</v>
      </c>
      <c r="FW10" s="61"/>
      <c r="FX10" s="61">
        <v>1</v>
      </c>
      <c r="FY10" s="61" t="s">
        <v>253</v>
      </c>
      <c r="FZ10" s="61"/>
      <c r="GA10" s="61">
        <v>1</v>
      </c>
      <c r="GB10" s="61" t="s">
        <v>355</v>
      </c>
      <c r="GC10" s="61"/>
      <c r="GD10" s="61">
        <v>0</v>
      </c>
      <c r="GE10" s="61" t="s">
        <v>284</v>
      </c>
      <c r="GF10" s="61"/>
      <c r="GG10" s="61">
        <v>0</v>
      </c>
      <c r="GH10" s="61"/>
      <c r="GI10" s="61"/>
      <c r="GJ10" s="61">
        <v>0</v>
      </c>
      <c r="GK10" s="61"/>
      <c r="GL10" s="61"/>
      <c r="GM10" s="61">
        <v>0</v>
      </c>
    </row>
    <row r="11" spans="1:195">
      <c r="A11" s="62">
        <v>10</v>
      </c>
      <c r="B11" s="61" t="s">
        <v>356</v>
      </c>
      <c r="C11" s="61" t="s">
        <v>357</v>
      </c>
      <c r="D11" s="61" t="s">
        <v>197</v>
      </c>
      <c r="E11" s="61"/>
      <c r="F11" s="61">
        <v>42</v>
      </c>
      <c r="G11" s="61"/>
      <c r="H11" s="61"/>
      <c r="I11" s="61"/>
      <c r="J11" s="61"/>
      <c r="K11" s="61"/>
      <c r="L11" s="65" t="s">
        <v>597</v>
      </c>
      <c r="M11" s="61" t="s">
        <v>598</v>
      </c>
      <c r="N11" s="61"/>
      <c r="O11" s="61"/>
      <c r="P11" s="61" t="s">
        <v>358</v>
      </c>
      <c r="Q11" s="61">
        <v>0</v>
      </c>
      <c r="R11" s="61"/>
      <c r="S11" s="61" t="s">
        <v>199</v>
      </c>
      <c r="T11" s="61">
        <v>1</v>
      </c>
      <c r="U11" s="61"/>
      <c r="V11" s="61" t="s">
        <v>200</v>
      </c>
      <c r="W11" s="61">
        <v>1</v>
      </c>
      <c r="X11" s="61"/>
      <c r="Y11" s="61" t="s">
        <v>325</v>
      </c>
      <c r="Z11" s="61">
        <v>0</v>
      </c>
      <c r="AA11" s="61"/>
      <c r="AB11" s="61" t="s">
        <v>290</v>
      </c>
      <c r="AC11" s="61"/>
      <c r="AD11" s="61">
        <v>1</v>
      </c>
      <c r="AE11" s="61" t="s">
        <v>262</v>
      </c>
      <c r="AF11" s="61"/>
      <c r="AG11" s="61">
        <v>0</v>
      </c>
      <c r="AH11" s="61" t="s">
        <v>263</v>
      </c>
      <c r="AI11" s="61"/>
      <c r="AJ11" s="61">
        <v>0</v>
      </c>
      <c r="AK11" s="61" t="s">
        <v>264</v>
      </c>
      <c r="AL11" s="61"/>
      <c r="AM11" s="61">
        <v>0</v>
      </c>
      <c r="AN11" s="61" t="s">
        <v>206</v>
      </c>
      <c r="AO11" s="61"/>
      <c r="AP11" s="61">
        <v>1</v>
      </c>
      <c r="AQ11" s="61" t="s">
        <v>207</v>
      </c>
      <c r="AR11" s="61"/>
      <c r="AS11" s="61">
        <v>1</v>
      </c>
      <c r="AT11" s="61" t="s">
        <v>338</v>
      </c>
      <c r="AU11" s="61"/>
      <c r="AV11" s="61">
        <v>0</v>
      </c>
      <c r="AW11" s="61" t="s">
        <v>209</v>
      </c>
      <c r="AX11" s="61"/>
      <c r="AY11" s="61">
        <v>1</v>
      </c>
      <c r="AZ11" s="61" t="s">
        <v>210</v>
      </c>
      <c r="BA11" s="61"/>
      <c r="BB11" s="61">
        <v>1</v>
      </c>
      <c r="BC11" s="61" t="s">
        <v>211</v>
      </c>
      <c r="BD11" s="61"/>
      <c r="BE11" s="61">
        <v>1</v>
      </c>
      <c r="BF11" s="61" t="s">
        <v>212</v>
      </c>
      <c r="BG11" s="61"/>
      <c r="BH11" s="61">
        <v>1</v>
      </c>
      <c r="BI11" s="61" t="s">
        <v>213</v>
      </c>
      <c r="BJ11" s="61"/>
      <c r="BK11" s="61">
        <v>1</v>
      </c>
      <c r="BL11" s="61" t="s">
        <v>214</v>
      </c>
      <c r="BM11" s="61"/>
      <c r="BN11" s="61">
        <v>1</v>
      </c>
      <c r="BO11" s="61" t="s">
        <v>215</v>
      </c>
      <c r="BP11" s="61"/>
      <c r="BQ11" s="61">
        <v>1</v>
      </c>
      <c r="BR11" s="61" t="s">
        <v>216</v>
      </c>
      <c r="BS11" s="61"/>
      <c r="BT11" s="61">
        <v>1</v>
      </c>
      <c r="BU11" s="61" t="s">
        <v>217</v>
      </c>
      <c r="BV11" s="61">
        <v>1</v>
      </c>
      <c r="BW11" s="61"/>
      <c r="BX11" s="61" t="s">
        <v>218</v>
      </c>
      <c r="BY11" s="61">
        <v>1</v>
      </c>
      <c r="BZ11" s="61"/>
      <c r="CA11" s="61" t="s">
        <v>295</v>
      </c>
      <c r="CB11" s="61">
        <v>0</v>
      </c>
      <c r="CC11" s="61"/>
      <c r="CD11" s="61" t="s">
        <v>271</v>
      </c>
      <c r="CE11" s="61">
        <v>1</v>
      </c>
      <c r="CF11" s="61"/>
      <c r="CG11" s="61" t="s">
        <v>221</v>
      </c>
      <c r="CH11" s="61">
        <v>1</v>
      </c>
      <c r="CI11" s="61"/>
      <c r="CJ11" s="61" t="s">
        <v>222</v>
      </c>
      <c r="CK11" s="61"/>
      <c r="CL11" s="61">
        <v>1</v>
      </c>
      <c r="CM11" s="61" t="s">
        <v>223</v>
      </c>
      <c r="CN11" s="61"/>
      <c r="CO11" s="61">
        <v>1</v>
      </c>
      <c r="CP11" s="61" t="s">
        <v>224</v>
      </c>
      <c r="CQ11" s="61"/>
      <c r="CR11" s="61">
        <v>1</v>
      </c>
      <c r="CS11" s="61" t="s">
        <v>225</v>
      </c>
      <c r="CT11" s="61"/>
      <c r="CU11" s="61">
        <v>1</v>
      </c>
      <c r="CV11" s="61" t="s">
        <v>226</v>
      </c>
      <c r="CW11" s="61"/>
      <c r="CX11" s="61">
        <v>1</v>
      </c>
      <c r="CY11" s="61" t="s">
        <v>227</v>
      </c>
      <c r="CZ11" s="61"/>
      <c r="DA11" s="61">
        <v>1</v>
      </c>
      <c r="DB11" s="61" t="s">
        <v>228</v>
      </c>
      <c r="DC11" s="61"/>
      <c r="DD11" s="61">
        <v>1</v>
      </c>
      <c r="DE11" s="61" t="s">
        <v>229</v>
      </c>
      <c r="DF11" s="61"/>
      <c r="DG11" s="61">
        <v>1</v>
      </c>
      <c r="DH11" s="61" t="s">
        <v>230</v>
      </c>
      <c r="DI11" s="61"/>
      <c r="DJ11" s="61">
        <v>1</v>
      </c>
      <c r="DK11" s="61" t="s">
        <v>231</v>
      </c>
      <c r="DL11" s="61"/>
      <c r="DM11" s="61">
        <v>1</v>
      </c>
      <c r="DN11" s="61" t="s">
        <v>232</v>
      </c>
      <c r="DO11" s="61"/>
      <c r="DP11" s="61">
        <v>1</v>
      </c>
      <c r="DQ11" s="61" t="s">
        <v>233</v>
      </c>
      <c r="DR11" s="61"/>
      <c r="DS11" s="61">
        <v>1</v>
      </c>
      <c r="DT11" s="61" t="s">
        <v>234</v>
      </c>
      <c r="DU11" s="61"/>
      <c r="DV11" s="61">
        <v>1</v>
      </c>
      <c r="DW11" s="61" t="s">
        <v>235</v>
      </c>
      <c r="DX11" s="61"/>
      <c r="DY11" s="61">
        <v>1</v>
      </c>
      <c r="DZ11" s="61" t="s">
        <v>328</v>
      </c>
      <c r="EA11" s="61"/>
      <c r="EB11" s="61">
        <v>0</v>
      </c>
      <c r="EC11" s="61" t="s">
        <v>339</v>
      </c>
      <c r="ED11" s="61"/>
      <c r="EE11" s="61">
        <v>0</v>
      </c>
      <c r="EF11" s="61" t="s">
        <v>238</v>
      </c>
      <c r="EG11" s="61"/>
      <c r="EH11" s="61">
        <v>1</v>
      </c>
      <c r="EI11" s="61" t="s">
        <v>359</v>
      </c>
      <c r="EJ11" s="61"/>
      <c r="EK11" s="61">
        <v>0</v>
      </c>
      <c r="EL11" s="61" t="s">
        <v>277</v>
      </c>
      <c r="EM11" s="61"/>
      <c r="EN11" s="61">
        <v>0</v>
      </c>
      <c r="EO11" s="61" t="s">
        <v>360</v>
      </c>
      <c r="EP11" s="61"/>
      <c r="EQ11" s="61">
        <v>0</v>
      </c>
      <c r="ER11" s="61" t="s">
        <v>278</v>
      </c>
      <c r="ES11" s="61"/>
      <c r="ET11" s="61">
        <v>0</v>
      </c>
      <c r="EU11" s="61" t="s">
        <v>243</v>
      </c>
      <c r="EV11" s="61"/>
      <c r="EW11" s="61">
        <v>1</v>
      </c>
      <c r="EX11" s="61" t="s">
        <v>340</v>
      </c>
      <c r="EY11" s="61"/>
      <c r="EZ11" s="61">
        <v>0</v>
      </c>
      <c r="FA11" s="61" t="s">
        <v>361</v>
      </c>
      <c r="FB11" s="61"/>
      <c r="FC11" s="61">
        <v>0</v>
      </c>
      <c r="FD11" s="61" t="s">
        <v>246</v>
      </c>
      <c r="FE11" s="61"/>
      <c r="FF11" s="61">
        <v>1</v>
      </c>
      <c r="FG11" s="61" t="s">
        <v>247</v>
      </c>
      <c r="FH11" s="61"/>
      <c r="FI11" s="61">
        <v>1</v>
      </c>
      <c r="FJ11" s="61" t="s">
        <v>298</v>
      </c>
      <c r="FK11" s="61"/>
      <c r="FL11" s="61">
        <v>1</v>
      </c>
      <c r="FM11" s="61" t="s">
        <v>249</v>
      </c>
      <c r="FN11" s="61"/>
      <c r="FO11" s="61">
        <v>1</v>
      </c>
      <c r="FP11" s="61" t="s">
        <v>332</v>
      </c>
      <c r="FQ11" s="61"/>
      <c r="FR11" s="61">
        <v>0</v>
      </c>
      <c r="FS11" s="61" t="s">
        <v>251</v>
      </c>
      <c r="FT11" s="61"/>
      <c r="FU11" s="61">
        <v>1</v>
      </c>
      <c r="FV11" s="61" t="s">
        <v>252</v>
      </c>
      <c r="FW11" s="61"/>
      <c r="FX11" s="61">
        <v>1</v>
      </c>
      <c r="FY11" s="61" t="s">
        <v>253</v>
      </c>
      <c r="FZ11" s="61"/>
      <c r="GA11" s="61">
        <v>1</v>
      </c>
      <c r="GB11" s="61" t="s">
        <v>254</v>
      </c>
      <c r="GC11" s="61"/>
      <c r="GD11" s="61">
        <v>1</v>
      </c>
      <c r="GE11" s="61" t="s">
        <v>284</v>
      </c>
      <c r="GF11" s="61"/>
      <c r="GG11" s="61">
        <v>0</v>
      </c>
      <c r="GH11" s="61" t="s">
        <v>256</v>
      </c>
      <c r="GI11" s="61"/>
      <c r="GJ11" s="61">
        <v>1</v>
      </c>
      <c r="GK11" s="61" t="s">
        <v>286</v>
      </c>
      <c r="GL11" s="61"/>
      <c r="GM11" s="61">
        <v>0</v>
      </c>
    </row>
    <row r="12" spans="1:195">
      <c r="A12" s="62">
        <v>11</v>
      </c>
      <c r="B12" s="61" t="s">
        <v>362</v>
      </c>
      <c r="C12" s="61" t="s">
        <v>363</v>
      </c>
      <c r="D12" s="61" t="s">
        <v>197</v>
      </c>
      <c r="E12" s="61"/>
      <c r="F12" s="61">
        <v>39</v>
      </c>
      <c r="G12" s="61"/>
      <c r="H12" s="61"/>
      <c r="I12" s="61"/>
      <c r="J12" s="61"/>
      <c r="K12" s="61"/>
      <c r="L12" s="65" t="s">
        <v>599</v>
      </c>
      <c r="M12" s="61" t="s">
        <v>600</v>
      </c>
      <c r="N12" s="61"/>
      <c r="O12" s="61"/>
      <c r="P12" s="61" t="s">
        <v>364</v>
      </c>
      <c r="Q12" s="61">
        <v>0</v>
      </c>
      <c r="R12" s="61"/>
      <c r="S12" s="61" t="s">
        <v>199</v>
      </c>
      <c r="T12" s="61">
        <v>1</v>
      </c>
      <c r="U12" s="61"/>
      <c r="V12" s="61" t="s">
        <v>200</v>
      </c>
      <c r="W12" s="61">
        <v>1</v>
      </c>
      <c r="X12" s="61"/>
      <c r="Y12" s="61" t="s">
        <v>261</v>
      </c>
      <c r="Z12" s="61">
        <v>1</v>
      </c>
      <c r="AA12" s="61"/>
      <c r="AB12" s="61" t="s">
        <v>202</v>
      </c>
      <c r="AC12" s="61"/>
      <c r="AD12" s="61">
        <v>0</v>
      </c>
      <c r="AE12" s="61" t="s">
        <v>203</v>
      </c>
      <c r="AF12" s="61"/>
      <c r="AG12" s="61">
        <v>1</v>
      </c>
      <c r="AH12" s="61" t="s">
        <v>204</v>
      </c>
      <c r="AI12" s="61"/>
      <c r="AJ12" s="61">
        <v>1</v>
      </c>
      <c r="AK12" s="61" t="s">
        <v>264</v>
      </c>
      <c r="AL12" s="61"/>
      <c r="AM12" s="61">
        <v>0</v>
      </c>
      <c r="AN12" s="61" t="s">
        <v>291</v>
      </c>
      <c r="AO12" s="61"/>
      <c r="AP12" s="61">
        <v>0</v>
      </c>
      <c r="AQ12" s="61" t="s">
        <v>207</v>
      </c>
      <c r="AR12" s="61"/>
      <c r="AS12" s="61">
        <v>1</v>
      </c>
      <c r="AT12" s="61" t="s">
        <v>208</v>
      </c>
      <c r="AU12" s="61"/>
      <c r="AV12" s="61">
        <v>1</v>
      </c>
      <c r="AW12" s="61" t="s">
        <v>305</v>
      </c>
      <c r="AX12" s="61"/>
      <c r="AY12" s="61">
        <v>0</v>
      </c>
      <c r="AZ12" s="61" t="s">
        <v>210</v>
      </c>
      <c r="BA12" s="61"/>
      <c r="BB12" s="61">
        <v>1</v>
      </c>
      <c r="BC12" s="61" t="s">
        <v>211</v>
      </c>
      <c r="BD12" s="61"/>
      <c r="BE12" s="61">
        <v>1</v>
      </c>
      <c r="BF12" s="61" t="s">
        <v>212</v>
      </c>
      <c r="BG12" s="61"/>
      <c r="BH12" s="61">
        <v>1</v>
      </c>
      <c r="BI12" s="61" t="s">
        <v>213</v>
      </c>
      <c r="BJ12" s="61"/>
      <c r="BK12" s="61">
        <v>1</v>
      </c>
      <c r="BL12" s="61" t="s">
        <v>214</v>
      </c>
      <c r="BM12" s="61"/>
      <c r="BN12" s="61">
        <v>1</v>
      </c>
      <c r="BO12" s="61" t="s">
        <v>365</v>
      </c>
      <c r="BP12" s="61"/>
      <c r="BQ12" s="61">
        <v>0</v>
      </c>
      <c r="BR12" s="61" t="s">
        <v>216</v>
      </c>
      <c r="BS12" s="61"/>
      <c r="BT12" s="61">
        <v>1</v>
      </c>
      <c r="BU12" s="61" t="s">
        <v>345</v>
      </c>
      <c r="BV12" s="61">
        <v>0</v>
      </c>
      <c r="BW12" s="61"/>
      <c r="BX12" s="61" t="s">
        <v>218</v>
      </c>
      <c r="BY12" s="61">
        <v>1</v>
      </c>
      <c r="BZ12" s="61"/>
      <c r="CA12" s="61" t="s">
        <v>327</v>
      </c>
      <c r="CB12" s="61">
        <v>0</v>
      </c>
      <c r="CC12" s="61"/>
      <c r="CD12" s="61" t="s">
        <v>271</v>
      </c>
      <c r="CE12" s="61">
        <v>1</v>
      </c>
      <c r="CF12" s="61"/>
      <c r="CG12" s="61" t="s">
        <v>318</v>
      </c>
      <c r="CH12" s="61">
        <v>0</v>
      </c>
      <c r="CI12" s="61"/>
      <c r="CJ12" s="61" t="s">
        <v>222</v>
      </c>
      <c r="CK12" s="61"/>
      <c r="CL12" s="61">
        <v>1</v>
      </c>
      <c r="CM12" s="61" t="s">
        <v>223</v>
      </c>
      <c r="CN12" s="61"/>
      <c r="CO12" s="61">
        <v>1</v>
      </c>
      <c r="CP12" s="61" t="s">
        <v>224</v>
      </c>
      <c r="CQ12" s="61"/>
      <c r="CR12" s="61">
        <v>1</v>
      </c>
      <c r="CS12" s="61" t="s">
        <v>225</v>
      </c>
      <c r="CT12" s="61"/>
      <c r="CU12" s="61">
        <v>1</v>
      </c>
      <c r="CV12" s="61" t="s">
        <v>226</v>
      </c>
      <c r="CW12" s="61"/>
      <c r="CX12" s="61">
        <v>1</v>
      </c>
      <c r="CY12" s="61" t="s">
        <v>227</v>
      </c>
      <c r="CZ12" s="61"/>
      <c r="DA12" s="61">
        <v>1</v>
      </c>
      <c r="DB12" s="61" t="s">
        <v>228</v>
      </c>
      <c r="DC12" s="61"/>
      <c r="DD12" s="61">
        <v>1</v>
      </c>
      <c r="DE12" s="61" t="s">
        <v>229</v>
      </c>
      <c r="DF12" s="61"/>
      <c r="DG12" s="61">
        <v>1</v>
      </c>
      <c r="DH12" s="61" t="s">
        <v>230</v>
      </c>
      <c r="DI12" s="61"/>
      <c r="DJ12" s="61">
        <v>1</v>
      </c>
      <c r="DK12" s="61" t="s">
        <v>231</v>
      </c>
      <c r="DL12" s="61"/>
      <c r="DM12" s="61">
        <v>1</v>
      </c>
      <c r="DN12" s="61" t="s">
        <v>232</v>
      </c>
      <c r="DO12" s="61"/>
      <c r="DP12" s="61">
        <v>1</v>
      </c>
      <c r="DQ12" s="61" t="s">
        <v>233</v>
      </c>
      <c r="DR12" s="61"/>
      <c r="DS12" s="61">
        <v>1</v>
      </c>
      <c r="DT12" s="61" t="s">
        <v>234</v>
      </c>
      <c r="DU12" s="61"/>
      <c r="DV12" s="61">
        <v>1</v>
      </c>
      <c r="DW12" s="61" t="s">
        <v>235</v>
      </c>
      <c r="DX12" s="61"/>
      <c r="DY12" s="61">
        <v>1</v>
      </c>
      <c r="DZ12" s="61" t="s">
        <v>275</v>
      </c>
      <c r="EA12" s="61"/>
      <c r="EB12" s="61">
        <v>0</v>
      </c>
      <c r="EC12" s="61" t="s">
        <v>237</v>
      </c>
      <c r="ED12" s="61"/>
      <c r="EE12" s="61">
        <v>1</v>
      </c>
      <c r="EF12" s="61" t="s">
        <v>238</v>
      </c>
      <c r="EG12" s="61"/>
      <c r="EH12" s="61">
        <v>1</v>
      </c>
      <c r="EI12" s="61" t="s">
        <v>359</v>
      </c>
      <c r="EJ12" s="61"/>
      <c r="EK12" s="61">
        <v>0</v>
      </c>
      <c r="EL12" s="61" t="s">
        <v>277</v>
      </c>
      <c r="EM12" s="61"/>
      <c r="EN12" s="61">
        <v>0</v>
      </c>
      <c r="EO12" s="61" t="s">
        <v>360</v>
      </c>
      <c r="EP12" s="61"/>
      <c r="EQ12" s="61">
        <v>0</v>
      </c>
      <c r="ER12" s="61" t="s">
        <v>242</v>
      </c>
      <c r="ES12" s="61"/>
      <c r="ET12" s="61">
        <v>1</v>
      </c>
      <c r="EU12" s="61" t="s">
        <v>366</v>
      </c>
      <c r="EV12" s="61"/>
      <c r="EW12" s="61">
        <v>0</v>
      </c>
      <c r="EX12" s="61" t="s">
        <v>244</v>
      </c>
      <c r="EY12" s="61"/>
      <c r="EZ12" s="61">
        <v>1</v>
      </c>
      <c r="FA12" s="61" t="s">
        <v>361</v>
      </c>
      <c r="FB12" s="61"/>
      <c r="FC12" s="61">
        <v>0</v>
      </c>
      <c r="FD12" s="61" t="s">
        <v>246</v>
      </c>
      <c r="FE12" s="61"/>
      <c r="FF12" s="61">
        <v>1</v>
      </c>
      <c r="FG12" s="61" t="s">
        <v>247</v>
      </c>
      <c r="FH12" s="61"/>
      <c r="FI12" s="61">
        <v>1</v>
      </c>
      <c r="FJ12" s="61" t="s">
        <v>349</v>
      </c>
      <c r="FK12" s="61"/>
      <c r="FL12" s="61">
        <v>0</v>
      </c>
      <c r="FM12" s="61" t="s">
        <v>311</v>
      </c>
      <c r="FN12" s="61"/>
      <c r="FO12" s="61">
        <v>0</v>
      </c>
      <c r="FP12" s="61" t="s">
        <v>250</v>
      </c>
      <c r="FQ12" s="61"/>
      <c r="FR12" s="61">
        <v>1</v>
      </c>
      <c r="FS12" s="61" t="s">
        <v>367</v>
      </c>
      <c r="FT12" s="61"/>
      <c r="FU12" s="61">
        <v>0</v>
      </c>
      <c r="FV12" s="61" t="s">
        <v>368</v>
      </c>
      <c r="FW12" s="61"/>
      <c r="FX12" s="61">
        <v>0</v>
      </c>
      <c r="FY12" s="61" t="s">
        <v>253</v>
      </c>
      <c r="FZ12" s="61"/>
      <c r="GA12" s="61">
        <v>1</v>
      </c>
      <c r="GB12" s="61" t="s">
        <v>254</v>
      </c>
      <c r="GC12" s="61"/>
      <c r="GD12" s="61">
        <v>1</v>
      </c>
      <c r="GE12" s="61" t="s">
        <v>255</v>
      </c>
      <c r="GF12" s="61"/>
      <c r="GG12" s="61">
        <v>1</v>
      </c>
      <c r="GH12" s="61"/>
      <c r="GI12" s="61"/>
      <c r="GJ12" s="61">
        <v>0</v>
      </c>
      <c r="GK12" s="61"/>
      <c r="GL12" s="61"/>
      <c r="GM12" s="61">
        <v>0</v>
      </c>
    </row>
    <row r="13" spans="1:195">
      <c r="A13" s="62">
        <v>12</v>
      </c>
      <c r="B13" s="61" t="s">
        <v>369</v>
      </c>
      <c r="C13" s="61" t="s">
        <v>370</v>
      </c>
      <c r="D13" s="61" t="s">
        <v>197</v>
      </c>
      <c r="E13" s="61"/>
      <c r="F13" s="61">
        <v>58</v>
      </c>
      <c r="G13" s="61"/>
      <c r="H13" s="61"/>
      <c r="I13" s="61"/>
      <c r="J13" s="61"/>
      <c r="K13" s="61"/>
      <c r="L13" s="65" t="s">
        <v>601</v>
      </c>
      <c r="M13" s="61" t="s">
        <v>602</v>
      </c>
      <c r="N13" s="61"/>
      <c r="O13" s="61"/>
      <c r="P13" s="61" t="s">
        <v>260</v>
      </c>
      <c r="Q13" s="61">
        <v>1</v>
      </c>
      <c r="R13" s="61"/>
      <c r="S13" s="61" t="s">
        <v>199</v>
      </c>
      <c r="T13" s="61">
        <v>1</v>
      </c>
      <c r="U13" s="61"/>
      <c r="V13" s="61" t="s">
        <v>200</v>
      </c>
      <c r="W13" s="61">
        <v>1</v>
      </c>
      <c r="X13" s="61"/>
      <c r="Y13" s="61" t="s">
        <v>261</v>
      </c>
      <c r="Z13" s="61">
        <v>1</v>
      </c>
      <c r="AA13" s="61"/>
      <c r="AB13" s="61" t="s">
        <v>290</v>
      </c>
      <c r="AC13" s="61"/>
      <c r="AD13" s="61">
        <v>1</v>
      </c>
      <c r="AE13" s="61" t="s">
        <v>203</v>
      </c>
      <c r="AF13" s="61"/>
      <c r="AG13" s="61">
        <v>1</v>
      </c>
      <c r="AH13" s="61" t="s">
        <v>204</v>
      </c>
      <c r="AI13" s="61"/>
      <c r="AJ13" s="61">
        <v>1</v>
      </c>
      <c r="AK13" s="61" t="s">
        <v>205</v>
      </c>
      <c r="AL13" s="61"/>
      <c r="AM13" s="61">
        <v>1</v>
      </c>
      <c r="AN13" s="61" t="s">
        <v>206</v>
      </c>
      <c r="AO13" s="61"/>
      <c r="AP13" s="61">
        <v>1</v>
      </c>
      <c r="AQ13" s="61" t="s">
        <v>207</v>
      </c>
      <c r="AR13" s="61"/>
      <c r="AS13" s="61">
        <v>1</v>
      </c>
      <c r="AT13" s="61" t="s">
        <v>208</v>
      </c>
      <c r="AU13" s="61"/>
      <c r="AV13" s="61">
        <v>1</v>
      </c>
      <c r="AW13" s="61" t="s">
        <v>209</v>
      </c>
      <c r="AX13" s="61"/>
      <c r="AY13" s="61">
        <v>1</v>
      </c>
      <c r="AZ13" s="61" t="s">
        <v>210</v>
      </c>
      <c r="BA13" s="61"/>
      <c r="BB13" s="61">
        <v>1</v>
      </c>
      <c r="BC13" s="61" t="s">
        <v>211</v>
      </c>
      <c r="BD13" s="61"/>
      <c r="BE13" s="61">
        <v>1</v>
      </c>
      <c r="BF13" s="61" t="s">
        <v>212</v>
      </c>
      <c r="BG13" s="61"/>
      <c r="BH13" s="61">
        <v>1</v>
      </c>
      <c r="BI13" s="61" t="s">
        <v>213</v>
      </c>
      <c r="BJ13" s="61"/>
      <c r="BK13" s="61">
        <v>1</v>
      </c>
      <c r="BL13" s="61" t="s">
        <v>214</v>
      </c>
      <c r="BM13" s="61"/>
      <c r="BN13" s="61">
        <v>1</v>
      </c>
      <c r="BO13" s="61" t="s">
        <v>215</v>
      </c>
      <c r="BP13" s="61"/>
      <c r="BQ13" s="61">
        <v>1</v>
      </c>
      <c r="BR13" s="61" t="s">
        <v>216</v>
      </c>
      <c r="BS13" s="61"/>
      <c r="BT13" s="61">
        <v>1</v>
      </c>
      <c r="BU13" s="61" t="s">
        <v>217</v>
      </c>
      <c r="BV13" s="61">
        <v>1</v>
      </c>
      <c r="BW13" s="61"/>
      <c r="BX13" s="61" t="s">
        <v>218</v>
      </c>
      <c r="BY13" s="61">
        <v>1</v>
      </c>
      <c r="BZ13" s="61"/>
      <c r="CA13" s="61" t="s">
        <v>219</v>
      </c>
      <c r="CB13" s="61">
        <v>1</v>
      </c>
      <c r="CC13" s="61"/>
      <c r="CD13" s="61" t="s">
        <v>271</v>
      </c>
      <c r="CE13" s="61">
        <v>1</v>
      </c>
      <c r="CF13" s="61"/>
      <c r="CG13" s="61" t="s">
        <v>221</v>
      </c>
      <c r="CH13" s="61">
        <v>1</v>
      </c>
      <c r="CI13" s="61"/>
      <c r="CJ13" s="61" t="s">
        <v>222</v>
      </c>
      <c r="CK13" s="61"/>
      <c r="CL13" s="61">
        <v>1</v>
      </c>
      <c r="CM13" s="61" t="s">
        <v>223</v>
      </c>
      <c r="CN13" s="61"/>
      <c r="CO13" s="61">
        <v>1</v>
      </c>
      <c r="CP13" s="61" t="s">
        <v>371</v>
      </c>
      <c r="CQ13" s="61"/>
      <c r="CR13" s="61">
        <v>0</v>
      </c>
      <c r="CS13" s="61" t="s">
        <v>225</v>
      </c>
      <c r="CT13" s="61"/>
      <c r="CU13" s="61">
        <v>1</v>
      </c>
      <c r="CV13" s="61" t="s">
        <v>226</v>
      </c>
      <c r="CW13" s="61"/>
      <c r="CX13" s="61">
        <v>1</v>
      </c>
      <c r="CY13" s="61" t="s">
        <v>227</v>
      </c>
      <c r="CZ13" s="61"/>
      <c r="DA13" s="61">
        <v>1</v>
      </c>
      <c r="DB13" s="61" t="s">
        <v>228</v>
      </c>
      <c r="DC13" s="61"/>
      <c r="DD13" s="61">
        <v>1</v>
      </c>
      <c r="DE13" s="61" t="s">
        <v>229</v>
      </c>
      <c r="DF13" s="61"/>
      <c r="DG13" s="61">
        <v>1</v>
      </c>
      <c r="DH13" s="61" t="s">
        <v>230</v>
      </c>
      <c r="DI13" s="61"/>
      <c r="DJ13" s="61">
        <v>1</v>
      </c>
      <c r="DK13" s="61" t="s">
        <v>231</v>
      </c>
      <c r="DL13" s="61"/>
      <c r="DM13" s="61">
        <v>1</v>
      </c>
      <c r="DN13" s="61" t="s">
        <v>232</v>
      </c>
      <c r="DO13" s="61"/>
      <c r="DP13" s="61">
        <v>1</v>
      </c>
      <c r="DQ13" s="61" t="s">
        <v>233</v>
      </c>
      <c r="DR13" s="61"/>
      <c r="DS13" s="61">
        <v>1</v>
      </c>
      <c r="DT13" s="61" t="s">
        <v>234</v>
      </c>
      <c r="DU13" s="61"/>
      <c r="DV13" s="61">
        <v>1</v>
      </c>
      <c r="DW13" s="61" t="s">
        <v>235</v>
      </c>
      <c r="DX13" s="61"/>
      <c r="DY13" s="61">
        <v>1</v>
      </c>
      <c r="DZ13" s="61" t="s">
        <v>236</v>
      </c>
      <c r="EA13" s="61"/>
      <c r="EB13" s="61">
        <v>1</v>
      </c>
      <c r="EC13" s="61" t="s">
        <v>237</v>
      </c>
      <c r="ED13" s="61"/>
      <c r="EE13" s="61">
        <v>1</v>
      </c>
      <c r="EF13" s="61" t="s">
        <v>238</v>
      </c>
      <c r="EG13" s="61"/>
      <c r="EH13" s="61">
        <v>1</v>
      </c>
      <c r="EI13" s="61" t="s">
        <v>239</v>
      </c>
      <c r="EJ13" s="61"/>
      <c r="EK13" s="61">
        <v>1</v>
      </c>
      <c r="EL13" s="61" t="s">
        <v>240</v>
      </c>
      <c r="EM13" s="61"/>
      <c r="EN13" s="61">
        <v>1</v>
      </c>
      <c r="EO13" s="61" t="s">
        <v>241</v>
      </c>
      <c r="EP13" s="61"/>
      <c r="EQ13" s="61">
        <v>1</v>
      </c>
      <c r="ER13" s="61" t="s">
        <v>242</v>
      </c>
      <c r="ES13" s="61"/>
      <c r="ET13" s="61">
        <v>1</v>
      </c>
      <c r="EU13" s="61" t="s">
        <v>243</v>
      </c>
      <c r="EV13" s="61"/>
      <c r="EW13" s="61">
        <v>1</v>
      </c>
      <c r="EX13" s="61" t="s">
        <v>244</v>
      </c>
      <c r="EY13" s="61"/>
      <c r="EZ13" s="61">
        <v>1</v>
      </c>
      <c r="FA13" s="61" t="s">
        <v>321</v>
      </c>
      <c r="FB13" s="61"/>
      <c r="FC13" s="61">
        <v>0</v>
      </c>
      <c r="FD13" s="61" t="s">
        <v>246</v>
      </c>
      <c r="FE13" s="61"/>
      <c r="FF13" s="61">
        <v>1</v>
      </c>
      <c r="FG13" s="61" t="s">
        <v>247</v>
      </c>
      <c r="FH13" s="61"/>
      <c r="FI13" s="61">
        <v>1</v>
      </c>
      <c r="FJ13" s="61" t="s">
        <v>298</v>
      </c>
      <c r="FK13" s="61"/>
      <c r="FL13" s="61">
        <v>1</v>
      </c>
      <c r="FM13" s="61" t="s">
        <v>249</v>
      </c>
      <c r="FN13" s="61"/>
      <c r="FO13" s="61">
        <v>1</v>
      </c>
      <c r="FP13" s="61" t="s">
        <v>250</v>
      </c>
      <c r="FQ13" s="61"/>
      <c r="FR13" s="61">
        <v>1</v>
      </c>
      <c r="FS13" s="61" t="s">
        <v>251</v>
      </c>
      <c r="FT13" s="61"/>
      <c r="FU13" s="61">
        <v>1</v>
      </c>
      <c r="FV13" s="61" t="s">
        <v>252</v>
      </c>
      <c r="FW13" s="61"/>
      <c r="FX13" s="61">
        <v>1</v>
      </c>
      <c r="FY13" s="61" t="s">
        <v>253</v>
      </c>
      <c r="FZ13" s="61"/>
      <c r="GA13" s="61">
        <v>1</v>
      </c>
      <c r="GB13" s="61" t="s">
        <v>254</v>
      </c>
      <c r="GC13" s="61"/>
      <c r="GD13" s="61">
        <v>1</v>
      </c>
      <c r="GE13" s="61" t="s">
        <v>255</v>
      </c>
      <c r="GF13" s="61"/>
      <c r="GG13" s="61">
        <v>1</v>
      </c>
      <c r="GH13" s="61" t="s">
        <v>256</v>
      </c>
      <c r="GI13" s="61"/>
      <c r="GJ13" s="61">
        <v>1</v>
      </c>
      <c r="GK13" s="61" t="s">
        <v>257</v>
      </c>
      <c r="GL13" s="61"/>
      <c r="GM13" s="61">
        <v>1</v>
      </c>
    </row>
    <row r="14" spans="1:195">
      <c r="A14" s="62">
        <v>13</v>
      </c>
      <c r="B14" s="61" t="s">
        <v>372</v>
      </c>
      <c r="C14" s="61" t="s">
        <v>373</v>
      </c>
      <c r="D14" s="61" t="s">
        <v>197</v>
      </c>
      <c r="E14" s="61"/>
      <c r="F14" s="61">
        <v>53</v>
      </c>
      <c r="G14" s="61"/>
      <c r="H14" s="61"/>
      <c r="I14" s="61"/>
      <c r="J14" s="61"/>
      <c r="K14" s="61"/>
      <c r="L14" s="65" t="s">
        <v>603</v>
      </c>
      <c r="M14" s="61" t="s">
        <v>604</v>
      </c>
      <c r="N14" s="61"/>
      <c r="O14" s="61"/>
      <c r="P14" s="61" t="s">
        <v>358</v>
      </c>
      <c r="Q14" s="61">
        <v>0</v>
      </c>
      <c r="R14" s="61"/>
      <c r="S14" s="61" t="s">
        <v>199</v>
      </c>
      <c r="T14" s="61">
        <v>1</v>
      </c>
      <c r="U14" s="61"/>
      <c r="V14" s="61" t="s">
        <v>302</v>
      </c>
      <c r="W14" s="61">
        <v>0</v>
      </c>
      <c r="X14" s="61"/>
      <c r="Y14" s="61" t="s">
        <v>325</v>
      </c>
      <c r="Z14" s="61">
        <v>0</v>
      </c>
      <c r="AA14" s="61"/>
      <c r="AB14" s="61" t="s">
        <v>336</v>
      </c>
      <c r="AC14" s="61"/>
      <c r="AD14" s="61">
        <v>0</v>
      </c>
      <c r="AE14" s="61" t="s">
        <v>203</v>
      </c>
      <c r="AF14" s="61"/>
      <c r="AG14" s="61">
        <v>1</v>
      </c>
      <c r="AH14" s="61" t="s">
        <v>204</v>
      </c>
      <c r="AI14" s="61"/>
      <c r="AJ14" s="61">
        <v>1</v>
      </c>
      <c r="AK14" s="61" t="s">
        <v>205</v>
      </c>
      <c r="AL14" s="61"/>
      <c r="AM14" s="61">
        <v>1</v>
      </c>
      <c r="AN14" s="61" t="s">
        <v>206</v>
      </c>
      <c r="AO14" s="61"/>
      <c r="AP14" s="61">
        <v>1</v>
      </c>
      <c r="AQ14" s="61" t="s">
        <v>207</v>
      </c>
      <c r="AR14" s="61"/>
      <c r="AS14" s="61">
        <v>1</v>
      </c>
      <c r="AT14" s="61" t="s">
        <v>208</v>
      </c>
      <c r="AU14" s="61"/>
      <c r="AV14" s="61">
        <v>1</v>
      </c>
      <c r="AW14" s="61" t="s">
        <v>209</v>
      </c>
      <c r="AX14" s="61"/>
      <c r="AY14" s="61">
        <v>1</v>
      </c>
      <c r="AZ14" s="61" t="s">
        <v>210</v>
      </c>
      <c r="BA14" s="61"/>
      <c r="BB14" s="61">
        <v>1</v>
      </c>
      <c r="BC14" s="61" t="s">
        <v>211</v>
      </c>
      <c r="BD14" s="61"/>
      <c r="BE14" s="61">
        <v>1</v>
      </c>
      <c r="BF14" s="61" t="s">
        <v>212</v>
      </c>
      <c r="BG14" s="61"/>
      <c r="BH14" s="61">
        <v>1</v>
      </c>
      <c r="BI14" s="61" t="s">
        <v>213</v>
      </c>
      <c r="BJ14" s="61"/>
      <c r="BK14" s="61">
        <v>1</v>
      </c>
      <c r="BL14" s="61" t="s">
        <v>214</v>
      </c>
      <c r="BM14" s="61"/>
      <c r="BN14" s="61">
        <v>1</v>
      </c>
      <c r="BO14" s="61" t="s">
        <v>215</v>
      </c>
      <c r="BP14" s="61"/>
      <c r="BQ14" s="61">
        <v>1</v>
      </c>
      <c r="BR14" s="61" t="s">
        <v>216</v>
      </c>
      <c r="BS14" s="61"/>
      <c r="BT14" s="61">
        <v>1</v>
      </c>
      <c r="BU14" s="61" t="s">
        <v>317</v>
      </c>
      <c r="BV14" s="61">
        <v>0</v>
      </c>
      <c r="BW14" s="61"/>
      <c r="BX14" s="61" t="s">
        <v>218</v>
      </c>
      <c r="BY14" s="61">
        <v>1</v>
      </c>
      <c r="BZ14" s="61"/>
      <c r="CA14" s="61" t="s">
        <v>219</v>
      </c>
      <c r="CB14" s="61">
        <v>1</v>
      </c>
      <c r="CC14" s="61"/>
      <c r="CD14" s="61" t="s">
        <v>271</v>
      </c>
      <c r="CE14" s="61">
        <v>1</v>
      </c>
      <c r="CF14" s="61"/>
      <c r="CG14" s="61" t="s">
        <v>221</v>
      </c>
      <c r="CH14" s="61">
        <v>1</v>
      </c>
      <c r="CI14" s="61"/>
      <c r="CJ14" s="61" t="s">
        <v>222</v>
      </c>
      <c r="CK14" s="61"/>
      <c r="CL14" s="61">
        <v>1</v>
      </c>
      <c r="CM14" s="61" t="s">
        <v>223</v>
      </c>
      <c r="CN14" s="61"/>
      <c r="CO14" s="61">
        <v>1</v>
      </c>
      <c r="CP14" s="61" t="s">
        <v>224</v>
      </c>
      <c r="CQ14" s="61"/>
      <c r="CR14" s="61">
        <v>1</v>
      </c>
      <c r="CS14" s="61" t="s">
        <v>225</v>
      </c>
      <c r="CT14" s="61"/>
      <c r="CU14" s="61">
        <v>1</v>
      </c>
      <c r="CV14" s="61" t="s">
        <v>374</v>
      </c>
      <c r="CW14" s="61"/>
      <c r="CX14" s="61">
        <v>0</v>
      </c>
      <c r="CY14" s="61" t="s">
        <v>227</v>
      </c>
      <c r="CZ14" s="61"/>
      <c r="DA14" s="61">
        <v>1</v>
      </c>
      <c r="DB14" s="61" t="s">
        <v>228</v>
      </c>
      <c r="DC14" s="61"/>
      <c r="DD14" s="61">
        <v>1</v>
      </c>
      <c r="DE14" s="61" t="s">
        <v>229</v>
      </c>
      <c r="DF14" s="61"/>
      <c r="DG14" s="61">
        <v>1</v>
      </c>
      <c r="DH14" s="61" t="s">
        <v>274</v>
      </c>
      <c r="DI14" s="61"/>
      <c r="DJ14" s="61">
        <v>0</v>
      </c>
      <c r="DK14" s="61" t="s">
        <v>231</v>
      </c>
      <c r="DL14" s="61"/>
      <c r="DM14" s="61">
        <v>1</v>
      </c>
      <c r="DN14" s="61" t="s">
        <v>232</v>
      </c>
      <c r="DO14" s="61"/>
      <c r="DP14" s="61">
        <v>1</v>
      </c>
      <c r="DQ14" s="61" t="s">
        <v>233</v>
      </c>
      <c r="DR14" s="61"/>
      <c r="DS14" s="61">
        <v>1</v>
      </c>
      <c r="DT14" s="61" t="s">
        <v>234</v>
      </c>
      <c r="DU14" s="61"/>
      <c r="DV14" s="61">
        <v>1</v>
      </c>
      <c r="DW14" s="61" t="s">
        <v>235</v>
      </c>
      <c r="DX14" s="61"/>
      <c r="DY14" s="61">
        <v>1</v>
      </c>
      <c r="DZ14" s="61" t="s">
        <v>236</v>
      </c>
      <c r="EA14" s="61"/>
      <c r="EB14" s="61">
        <v>1</v>
      </c>
      <c r="EC14" s="61" t="s">
        <v>237</v>
      </c>
      <c r="ED14" s="61"/>
      <c r="EE14" s="61">
        <v>1</v>
      </c>
      <c r="EF14" s="61" t="s">
        <v>238</v>
      </c>
      <c r="EG14" s="61"/>
      <c r="EH14" s="61">
        <v>1</v>
      </c>
      <c r="EI14" s="61" t="s">
        <v>239</v>
      </c>
      <c r="EJ14" s="61"/>
      <c r="EK14" s="61">
        <v>1</v>
      </c>
      <c r="EL14" s="61" t="s">
        <v>240</v>
      </c>
      <c r="EM14" s="61"/>
      <c r="EN14" s="61">
        <v>1</v>
      </c>
      <c r="EO14" s="61" t="s">
        <v>241</v>
      </c>
      <c r="EP14" s="61"/>
      <c r="EQ14" s="61">
        <v>1</v>
      </c>
      <c r="ER14" s="61" t="s">
        <v>242</v>
      </c>
      <c r="ES14" s="61"/>
      <c r="ET14" s="61">
        <v>1</v>
      </c>
      <c r="EU14" s="61" t="s">
        <v>243</v>
      </c>
      <c r="EV14" s="61"/>
      <c r="EW14" s="61">
        <v>1</v>
      </c>
      <c r="EX14" s="61" t="s">
        <v>244</v>
      </c>
      <c r="EY14" s="61"/>
      <c r="EZ14" s="61">
        <v>1</v>
      </c>
      <c r="FA14" s="61" t="s">
        <v>245</v>
      </c>
      <c r="FB14" s="61"/>
      <c r="FC14" s="61">
        <v>1</v>
      </c>
      <c r="FD14" s="61" t="s">
        <v>246</v>
      </c>
      <c r="FE14" s="61"/>
      <c r="FF14" s="61">
        <v>1</v>
      </c>
      <c r="FG14" s="61" t="s">
        <v>247</v>
      </c>
      <c r="FH14" s="61"/>
      <c r="FI14" s="61">
        <v>1</v>
      </c>
      <c r="FJ14" s="61" t="s">
        <v>298</v>
      </c>
      <c r="FK14" s="61"/>
      <c r="FL14" s="61">
        <v>1</v>
      </c>
      <c r="FM14" s="61" t="s">
        <v>249</v>
      </c>
      <c r="FN14" s="61"/>
      <c r="FO14" s="61">
        <v>1</v>
      </c>
      <c r="FP14" s="61" t="s">
        <v>250</v>
      </c>
      <c r="FQ14" s="61"/>
      <c r="FR14" s="61">
        <v>1</v>
      </c>
      <c r="FS14" s="61" t="s">
        <v>251</v>
      </c>
      <c r="FT14" s="61"/>
      <c r="FU14" s="61">
        <v>1</v>
      </c>
      <c r="FV14" s="61" t="s">
        <v>252</v>
      </c>
      <c r="FW14" s="61"/>
      <c r="FX14" s="61">
        <v>1</v>
      </c>
      <c r="FY14" s="61" t="s">
        <v>253</v>
      </c>
      <c r="FZ14" s="61"/>
      <c r="GA14" s="61">
        <v>1</v>
      </c>
      <c r="GB14" s="61" t="s">
        <v>254</v>
      </c>
      <c r="GC14" s="61"/>
      <c r="GD14" s="61">
        <v>1</v>
      </c>
      <c r="GE14" s="61" t="s">
        <v>255</v>
      </c>
      <c r="GF14" s="61"/>
      <c r="GG14" s="61">
        <v>1</v>
      </c>
      <c r="GH14" s="61" t="s">
        <v>256</v>
      </c>
      <c r="GI14" s="61"/>
      <c r="GJ14" s="61">
        <v>1</v>
      </c>
      <c r="GK14" s="61" t="s">
        <v>257</v>
      </c>
      <c r="GL14" s="61"/>
      <c r="GM14" s="61">
        <v>1</v>
      </c>
    </row>
    <row r="15" spans="1:195">
      <c r="A15" s="62">
        <v>14</v>
      </c>
      <c r="B15" s="61" t="s">
        <v>375</v>
      </c>
      <c r="C15" s="61" t="s">
        <v>376</v>
      </c>
      <c r="D15" s="61" t="s">
        <v>197</v>
      </c>
      <c r="E15" s="61"/>
      <c r="F15" s="61">
        <v>46</v>
      </c>
      <c r="G15" s="61"/>
      <c r="H15" s="61"/>
      <c r="I15" s="61"/>
      <c r="J15" s="61"/>
      <c r="K15" s="61"/>
      <c r="L15" s="65" t="s">
        <v>605</v>
      </c>
      <c r="M15" s="61" t="s">
        <v>606</v>
      </c>
      <c r="N15" s="61"/>
      <c r="O15" s="61"/>
      <c r="P15" s="61" t="s">
        <v>364</v>
      </c>
      <c r="Q15" s="61">
        <v>0</v>
      </c>
      <c r="R15" s="61"/>
      <c r="S15" s="61" t="s">
        <v>199</v>
      </c>
      <c r="T15" s="61">
        <v>1</v>
      </c>
      <c r="U15" s="61"/>
      <c r="V15" s="61" t="s">
        <v>200</v>
      </c>
      <c r="W15" s="61">
        <v>1</v>
      </c>
      <c r="X15" s="61"/>
      <c r="Y15" s="61" t="s">
        <v>201</v>
      </c>
      <c r="Z15" s="61">
        <v>0</v>
      </c>
      <c r="AA15" s="61"/>
      <c r="AB15" s="61" t="s">
        <v>202</v>
      </c>
      <c r="AC15" s="61"/>
      <c r="AD15" s="61">
        <v>0</v>
      </c>
      <c r="AE15" s="61" t="s">
        <v>262</v>
      </c>
      <c r="AF15" s="61"/>
      <c r="AG15" s="61">
        <v>0</v>
      </c>
      <c r="AH15" s="61" t="s">
        <v>204</v>
      </c>
      <c r="AI15" s="61"/>
      <c r="AJ15" s="61">
        <v>1</v>
      </c>
      <c r="AK15" s="61" t="s">
        <v>205</v>
      </c>
      <c r="AL15" s="61"/>
      <c r="AM15" s="61">
        <v>1</v>
      </c>
      <c r="AN15" s="61" t="s">
        <v>291</v>
      </c>
      <c r="AO15" s="61"/>
      <c r="AP15" s="61">
        <v>0</v>
      </c>
      <c r="AQ15" s="61" t="s">
        <v>207</v>
      </c>
      <c r="AR15" s="61"/>
      <c r="AS15" s="61">
        <v>1</v>
      </c>
      <c r="AT15" s="61" t="s">
        <v>208</v>
      </c>
      <c r="AU15" s="61"/>
      <c r="AV15" s="61">
        <v>1</v>
      </c>
      <c r="AW15" s="61" t="s">
        <v>293</v>
      </c>
      <c r="AX15" s="61"/>
      <c r="AY15" s="61">
        <v>0</v>
      </c>
      <c r="AZ15" s="61" t="s">
        <v>210</v>
      </c>
      <c r="BA15" s="61"/>
      <c r="BB15" s="61">
        <v>1</v>
      </c>
      <c r="BC15" s="61" t="s">
        <v>211</v>
      </c>
      <c r="BD15" s="61"/>
      <c r="BE15" s="61">
        <v>1</v>
      </c>
      <c r="BF15" s="61" t="s">
        <v>267</v>
      </c>
      <c r="BG15" s="61"/>
      <c r="BH15" s="61">
        <v>0</v>
      </c>
      <c r="BI15" s="61" t="s">
        <v>213</v>
      </c>
      <c r="BJ15" s="61"/>
      <c r="BK15" s="61">
        <v>1</v>
      </c>
      <c r="BL15" s="61" t="s">
        <v>214</v>
      </c>
      <c r="BM15" s="61"/>
      <c r="BN15" s="61">
        <v>1</v>
      </c>
      <c r="BO15" s="61" t="s">
        <v>215</v>
      </c>
      <c r="BP15" s="61"/>
      <c r="BQ15" s="61">
        <v>1</v>
      </c>
      <c r="BR15" s="61" t="s">
        <v>216</v>
      </c>
      <c r="BS15" s="61"/>
      <c r="BT15" s="61">
        <v>1</v>
      </c>
      <c r="BU15" s="61" t="s">
        <v>217</v>
      </c>
      <c r="BV15" s="61">
        <v>1</v>
      </c>
      <c r="BW15" s="61"/>
      <c r="BX15" s="61" t="s">
        <v>218</v>
      </c>
      <c r="BY15" s="61">
        <v>1</v>
      </c>
      <c r="BZ15" s="61"/>
      <c r="CA15" s="61" t="s">
        <v>219</v>
      </c>
      <c r="CB15" s="61">
        <v>1</v>
      </c>
      <c r="CC15" s="61"/>
      <c r="CD15" s="61" t="s">
        <v>271</v>
      </c>
      <c r="CE15" s="61">
        <v>1</v>
      </c>
      <c r="CF15" s="61"/>
      <c r="CG15" s="61" t="s">
        <v>221</v>
      </c>
      <c r="CH15" s="61">
        <v>1</v>
      </c>
      <c r="CI15" s="61"/>
      <c r="CJ15" s="61" t="s">
        <v>222</v>
      </c>
      <c r="CK15" s="61"/>
      <c r="CL15" s="61">
        <v>1</v>
      </c>
      <c r="CM15" s="61" t="s">
        <v>223</v>
      </c>
      <c r="CN15" s="61"/>
      <c r="CO15" s="61">
        <v>1</v>
      </c>
      <c r="CP15" s="61" t="s">
        <v>224</v>
      </c>
      <c r="CQ15" s="61"/>
      <c r="CR15" s="61">
        <v>1</v>
      </c>
      <c r="CS15" s="61" t="s">
        <v>225</v>
      </c>
      <c r="CT15" s="61"/>
      <c r="CU15" s="61">
        <v>1</v>
      </c>
      <c r="CV15" s="61" t="s">
        <v>226</v>
      </c>
      <c r="CW15" s="61"/>
      <c r="CX15" s="61">
        <v>1</v>
      </c>
      <c r="CY15" s="61" t="s">
        <v>227</v>
      </c>
      <c r="CZ15" s="61"/>
      <c r="DA15" s="61">
        <v>1</v>
      </c>
      <c r="DB15" s="61" t="s">
        <v>228</v>
      </c>
      <c r="DC15" s="61"/>
      <c r="DD15" s="61">
        <v>1</v>
      </c>
      <c r="DE15" s="61" t="s">
        <v>296</v>
      </c>
      <c r="DF15" s="61"/>
      <c r="DG15" s="61">
        <v>0</v>
      </c>
      <c r="DH15" s="61" t="s">
        <v>230</v>
      </c>
      <c r="DI15" s="61"/>
      <c r="DJ15" s="61">
        <v>1</v>
      </c>
      <c r="DK15" s="61" t="s">
        <v>231</v>
      </c>
      <c r="DL15" s="61"/>
      <c r="DM15" s="61">
        <v>1</v>
      </c>
      <c r="DN15" s="61" t="s">
        <v>232</v>
      </c>
      <c r="DO15" s="61"/>
      <c r="DP15" s="61">
        <v>1</v>
      </c>
      <c r="DQ15" s="61" t="s">
        <v>233</v>
      </c>
      <c r="DR15" s="61"/>
      <c r="DS15" s="61">
        <v>1</v>
      </c>
      <c r="DT15" s="61" t="s">
        <v>234</v>
      </c>
      <c r="DU15" s="61"/>
      <c r="DV15" s="61">
        <v>1</v>
      </c>
      <c r="DW15" s="61" t="s">
        <v>235</v>
      </c>
      <c r="DX15" s="61"/>
      <c r="DY15" s="61">
        <v>1</v>
      </c>
      <c r="DZ15" s="61" t="s">
        <v>236</v>
      </c>
      <c r="EA15" s="61"/>
      <c r="EB15" s="61">
        <v>1</v>
      </c>
      <c r="EC15" s="61" t="s">
        <v>237</v>
      </c>
      <c r="ED15" s="61"/>
      <c r="EE15" s="61">
        <v>1</v>
      </c>
      <c r="EF15" s="61" t="s">
        <v>238</v>
      </c>
      <c r="EG15" s="61"/>
      <c r="EH15" s="61">
        <v>1</v>
      </c>
      <c r="EI15" s="61" t="s">
        <v>239</v>
      </c>
      <c r="EJ15" s="61"/>
      <c r="EK15" s="61">
        <v>1</v>
      </c>
      <c r="EL15" s="61" t="s">
        <v>240</v>
      </c>
      <c r="EM15" s="61"/>
      <c r="EN15" s="61">
        <v>1</v>
      </c>
      <c r="EO15" s="61" t="s">
        <v>353</v>
      </c>
      <c r="EP15" s="61"/>
      <c r="EQ15" s="61">
        <v>0</v>
      </c>
      <c r="ER15" s="61" t="s">
        <v>278</v>
      </c>
      <c r="ES15" s="61"/>
      <c r="ET15" s="61">
        <v>0</v>
      </c>
      <c r="EU15" s="61" t="s">
        <v>243</v>
      </c>
      <c r="EV15" s="61"/>
      <c r="EW15" s="61">
        <v>1</v>
      </c>
      <c r="EX15" s="61" t="s">
        <v>244</v>
      </c>
      <c r="EY15" s="61"/>
      <c r="EZ15" s="61">
        <v>1</v>
      </c>
      <c r="FA15" s="61" t="s">
        <v>361</v>
      </c>
      <c r="FB15" s="61"/>
      <c r="FC15" s="61">
        <v>0</v>
      </c>
      <c r="FD15" s="61" t="s">
        <v>246</v>
      </c>
      <c r="FE15" s="61"/>
      <c r="FF15" s="61">
        <v>1</v>
      </c>
      <c r="FG15" s="61" t="s">
        <v>331</v>
      </c>
      <c r="FH15" s="61"/>
      <c r="FI15" s="61">
        <v>0</v>
      </c>
      <c r="FJ15" s="61" t="s">
        <v>298</v>
      </c>
      <c r="FK15" s="61"/>
      <c r="FL15" s="61">
        <v>1</v>
      </c>
      <c r="FM15" s="61" t="s">
        <v>249</v>
      </c>
      <c r="FN15" s="61"/>
      <c r="FO15" s="61">
        <v>1</v>
      </c>
      <c r="FP15" s="61" t="s">
        <v>250</v>
      </c>
      <c r="FQ15" s="61"/>
      <c r="FR15" s="61">
        <v>1</v>
      </c>
      <c r="FS15" s="61" t="s">
        <v>251</v>
      </c>
      <c r="FT15" s="61"/>
      <c r="FU15" s="61">
        <v>1</v>
      </c>
      <c r="FV15" s="61" t="s">
        <v>252</v>
      </c>
      <c r="FW15" s="61"/>
      <c r="FX15" s="61">
        <v>1</v>
      </c>
      <c r="FY15" s="61" t="s">
        <v>253</v>
      </c>
      <c r="FZ15" s="61"/>
      <c r="GA15" s="61">
        <v>1</v>
      </c>
      <c r="GB15" s="61" t="s">
        <v>254</v>
      </c>
      <c r="GC15" s="61"/>
      <c r="GD15" s="61">
        <v>1</v>
      </c>
      <c r="GE15" s="61" t="s">
        <v>255</v>
      </c>
      <c r="GF15" s="61"/>
      <c r="GG15" s="61">
        <v>1</v>
      </c>
      <c r="GH15" s="61" t="s">
        <v>377</v>
      </c>
      <c r="GI15" s="61"/>
      <c r="GJ15" s="61">
        <v>0</v>
      </c>
      <c r="GK15" s="61" t="s">
        <v>286</v>
      </c>
      <c r="GL15" s="61"/>
      <c r="GM15" s="61">
        <v>0</v>
      </c>
    </row>
    <row r="16" spans="1:195">
      <c r="A16" s="62">
        <v>15</v>
      </c>
      <c r="B16" s="61" t="s">
        <v>378</v>
      </c>
      <c r="C16" s="61" t="s">
        <v>379</v>
      </c>
      <c r="D16" s="61" t="s">
        <v>197</v>
      </c>
      <c r="E16" s="61"/>
      <c r="F16" s="61">
        <v>36</v>
      </c>
      <c r="G16" s="61"/>
      <c r="H16" s="61"/>
      <c r="I16" s="61"/>
      <c r="J16" s="61"/>
      <c r="K16" s="61"/>
      <c r="L16" s="65" t="s">
        <v>607</v>
      </c>
      <c r="M16" s="61" t="s">
        <v>608</v>
      </c>
      <c r="N16" s="61"/>
      <c r="O16" s="61"/>
      <c r="P16" s="61" t="s">
        <v>364</v>
      </c>
      <c r="Q16" s="61">
        <v>0</v>
      </c>
      <c r="R16" s="61"/>
      <c r="S16" s="61" t="s">
        <v>199</v>
      </c>
      <c r="T16" s="61">
        <v>1</v>
      </c>
      <c r="U16" s="61"/>
      <c r="V16" s="61" t="s">
        <v>302</v>
      </c>
      <c r="W16" s="61">
        <v>0</v>
      </c>
      <c r="X16" s="61"/>
      <c r="Y16" s="61" t="s">
        <v>325</v>
      </c>
      <c r="Z16" s="61">
        <v>0</v>
      </c>
      <c r="AA16" s="61"/>
      <c r="AB16" s="61" t="s">
        <v>336</v>
      </c>
      <c r="AC16" s="61"/>
      <c r="AD16" s="61">
        <v>0</v>
      </c>
      <c r="AE16" s="61" t="s">
        <v>203</v>
      </c>
      <c r="AF16" s="61"/>
      <c r="AG16" s="61">
        <v>1</v>
      </c>
      <c r="AH16" s="61" t="s">
        <v>204</v>
      </c>
      <c r="AI16" s="61"/>
      <c r="AJ16" s="61">
        <v>1</v>
      </c>
      <c r="AK16" s="61" t="s">
        <v>264</v>
      </c>
      <c r="AL16" s="61"/>
      <c r="AM16" s="61">
        <v>0</v>
      </c>
      <c r="AN16" s="61" t="s">
        <v>291</v>
      </c>
      <c r="AO16" s="61"/>
      <c r="AP16" s="61">
        <v>0</v>
      </c>
      <c r="AQ16" s="61" t="s">
        <v>207</v>
      </c>
      <c r="AR16" s="61"/>
      <c r="AS16" s="61">
        <v>1</v>
      </c>
      <c r="AT16" s="61" t="s">
        <v>208</v>
      </c>
      <c r="AU16" s="61"/>
      <c r="AV16" s="61">
        <v>1</v>
      </c>
      <c r="AW16" s="61" t="s">
        <v>265</v>
      </c>
      <c r="AX16" s="61"/>
      <c r="AY16" s="61">
        <v>0</v>
      </c>
      <c r="AZ16" s="61" t="s">
        <v>210</v>
      </c>
      <c r="BA16" s="61"/>
      <c r="BB16" s="61">
        <v>1</v>
      </c>
      <c r="BC16" s="61" t="s">
        <v>315</v>
      </c>
      <c r="BD16" s="61"/>
      <c r="BE16" s="61">
        <v>0</v>
      </c>
      <c r="BF16" s="61" t="s">
        <v>354</v>
      </c>
      <c r="BG16" s="61"/>
      <c r="BH16" s="61">
        <v>0</v>
      </c>
      <c r="BI16" s="61" t="s">
        <v>354</v>
      </c>
      <c r="BJ16" s="61"/>
      <c r="BK16" s="61">
        <v>0</v>
      </c>
      <c r="BL16" s="61" t="s">
        <v>214</v>
      </c>
      <c r="BM16" s="61"/>
      <c r="BN16" s="61">
        <v>1</v>
      </c>
      <c r="BO16" s="61" t="s">
        <v>215</v>
      </c>
      <c r="BP16" s="61"/>
      <c r="BQ16" s="61">
        <v>1</v>
      </c>
      <c r="BR16" s="61" t="s">
        <v>216</v>
      </c>
      <c r="BS16" s="61"/>
      <c r="BT16" s="61">
        <v>1</v>
      </c>
      <c r="BU16" s="61" t="s">
        <v>217</v>
      </c>
      <c r="BV16" s="61">
        <v>1</v>
      </c>
      <c r="BW16" s="61"/>
      <c r="BX16" s="61" t="s">
        <v>218</v>
      </c>
      <c r="BY16" s="61">
        <v>1</v>
      </c>
      <c r="BZ16" s="61"/>
      <c r="CA16" s="61" t="s">
        <v>354</v>
      </c>
      <c r="CB16" s="61">
        <v>0</v>
      </c>
      <c r="CC16" s="61"/>
      <c r="CD16" s="61" t="s">
        <v>271</v>
      </c>
      <c r="CE16" s="61">
        <v>1</v>
      </c>
      <c r="CF16" s="61"/>
      <c r="CG16" s="61" t="s">
        <v>221</v>
      </c>
      <c r="CH16" s="61">
        <v>1</v>
      </c>
      <c r="CI16" s="61"/>
      <c r="CJ16" s="61" t="s">
        <v>222</v>
      </c>
      <c r="CK16" s="61"/>
      <c r="CL16" s="61">
        <v>1</v>
      </c>
      <c r="CM16" s="61" t="s">
        <v>346</v>
      </c>
      <c r="CN16" s="61"/>
      <c r="CO16" s="61">
        <v>0</v>
      </c>
      <c r="CP16" s="61" t="s">
        <v>224</v>
      </c>
      <c r="CQ16" s="61"/>
      <c r="CR16" s="61">
        <v>1</v>
      </c>
      <c r="CS16" s="61" t="s">
        <v>225</v>
      </c>
      <c r="CT16" s="61"/>
      <c r="CU16" s="61">
        <v>1</v>
      </c>
      <c r="CV16" s="61" t="s">
        <v>226</v>
      </c>
      <c r="CW16" s="61"/>
      <c r="CX16" s="61">
        <v>1</v>
      </c>
      <c r="CY16" s="61" t="s">
        <v>227</v>
      </c>
      <c r="CZ16" s="61"/>
      <c r="DA16" s="61">
        <v>1</v>
      </c>
      <c r="DB16" s="61" t="s">
        <v>228</v>
      </c>
      <c r="DC16" s="61"/>
      <c r="DD16" s="61">
        <v>1</v>
      </c>
      <c r="DE16" s="61" t="s">
        <v>229</v>
      </c>
      <c r="DF16" s="61"/>
      <c r="DG16" s="61">
        <v>1</v>
      </c>
      <c r="DH16" s="61" t="s">
        <v>230</v>
      </c>
      <c r="DI16" s="61"/>
      <c r="DJ16" s="61">
        <v>1</v>
      </c>
      <c r="DK16" s="61" t="s">
        <v>231</v>
      </c>
      <c r="DL16" s="61"/>
      <c r="DM16" s="61">
        <v>1</v>
      </c>
      <c r="DN16" s="61" t="s">
        <v>232</v>
      </c>
      <c r="DO16" s="61"/>
      <c r="DP16" s="61">
        <v>1</v>
      </c>
      <c r="DQ16" s="61" t="s">
        <v>233</v>
      </c>
      <c r="DR16" s="61"/>
      <c r="DS16" s="61">
        <v>1</v>
      </c>
      <c r="DT16" s="61" t="s">
        <v>234</v>
      </c>
      <c r="DU16" s="61"/>
      <c r="DV16" s="61">
        <v>1</v>
      </c>
      <c r="DW16" s="61" t="s">
        <v>235</v>
      </c>
      <c r="DX16" s="61"/>
      <c r="DY16" s="61">
        <v>1</v>
      </c>
      <c r="DZ16" s="61" t="s">
        <v>275</v>
      </c>
      <c r="EA16" s="61"/>
      <c r="EB16" s="61">
        <v>0</v>
      </c>
      <c r="EC16" s="61" t="s">
        <v>354</v>
      </c>
      <c r="ED16" s="61"/>
      <c r="EE16" s="61">
        <v>0</v>
      </c>
      <c r="EF16" s="61" t="s">
        <v>238</v>
      </c>
      <c r="EG16" s="61"/>
      <c r="EH16" s="61">
        <v>1</v>
      </c>
      <c r="EI16" s="61" t="s">
        <v>239</v>
      </c>
      <c r="EJ16" s="61"/>
      <c r="EK16" s="61">
        <v>1</v>
      </c>
      <c r="EL16" s="61" t="s">
        <v>348</v>
      </c>
      <c r="EM16" s="61"/>
      <c r="EN16" s="61">
        <v>0</v>
      </c>
      <c r="EO16" s="61" t="s">
        <v>329</v>
      </c>
      <c r="EP16" s="61"/>
      <c r="EQ16" s="61">
        <v>0</v>
      </c>
      <c r="ER16" s="61" t="s">
        <v>242</v>
      </c>
      <c r="ES16" s="61"/>
      <c r="ET16" s="61">
        <v>1</v>
      </c>
      <c r="EU16" s="61" t="s">
        <v>354</v>
      </c>
      <c r="EV16" s="61"/>
      <c r="EW16" s="61">
        <v>0</v>
      </c>
      <c r="EX16" s="61" t="s">
        <v>340</v>
      </c>
      <c r="EY16" s="61"/>
      <c r="EZ16" s="61">
        <v>0</v>
      </c>
      <c r="FA16" s="61" t="s">
        <v>280</v>
      </c>
      <c r="FB16" s="61"/>
      <c r="FC16" s="61">
        <v>0</v>
      </c>
      <c r="FD16" s="61" t="s">
        <v>246</v>
      </c>
      <c r="FE16" s="61"/>
      <c r="FF16" s="61">
        <v>1</v>
      </c>
      <c r="FG16" s="61" t="s">
        <v>247</v>
      </c>
      <c r="FH16" s="61"/>
      <c r="FI16" s="61">
        <v>1</v>
      </c>
      <c r="FJ16" s="61" t="s">
        <v>248</v>
      </c>
      <c r="FK16" s="61"/>
      <c r="FL16" s="61">
        <v>0</v>
      </c>
      <c r="FM16" s="61" t="s">
        <v>311</v>
      </c>
      <c r="FN16" s="61"/>
      <c r="FO16" s="61">
        <v>0</v>
      </c>
      <c r="FP16" s="61" t="s">
        <v>250</v>
      </c>
      <c r="FQ16" s="61"/>
      <c r="FR16" s="61">
        <v>1</v>
      </c>
      <c r="FS16" s="61" t="s">
        <v>251</v>
      </c>
      <c r="FT16" s="61"/>
      <c r="FU16" s="61">
        <v>1</v>
      </c>
      <c r="FV16" s="61" t="s">
        <v>252</v>
      </c>
      <c r="FW16" s="61"/>
      <c r="FX16" s="61">
        <v>1</v>
      </c>
      <c r="FY16" s="61" t="s">
        <v>253</v>
      </c>
      <c r="FZ16" s="61"/>
      <c r="GA16" s="61">
        <v>1</v>
      </c>
      <c r="GB16" s="61" t="s">
        <v>354</v>
      </c>
      <c r="GC16" s="61"/>
      <c r="GD16" s="61">
        <v>0</v>
      </c>
      <c r="GE16" s="61" t="s">
        <v>255</v>
      </c>
      <c r="GF16" s="61"/>
      <c r="GG16" s="61">
        <v>1</v>
      </c>
      <c r="GH16" s="61" t="s">
        <v>380</v>
      </c>
      <c r="GI16" s="61"/>
      <c r="GJ16" s="61">
        <v>0</v>
      </c>
      <c r="GK16" s="61" t="s">
        <v>322</v>
      </c>
      <c r="GL16" s="61"/>
      <c r="GM16" s="61">
        <v>0</v>
      </c>
    </row>
    <row r="17" spans="1:195">
      <c r="A17" s="62">
        <v>16</v>
      </c>
      <c r="B17" s="61" t="s">
        <v>381</v>
      </c>
      <c r="C17" s="61" t="s">
        <v>382</v>
      </c>
      <c r="D17" s="61" t="s">
        <v>197</v>
      </c>
      <c r="E17" s="61"/>
      <c r="F17" s="61">
        <v>48</v>
      </c>
      <c r="G17" s="61"/>
      <c r="H17" s="61"/>
      <c r="I17" s="61"/>
      <c r="J17" s="61"/>
      <c r="K17" s="61"/>
      <c r="L17" s="65" t="s">
        <v>609</v>
      </c>
      <c r="M17" s="61" t="s">
        <v>610</v>
      </c>
      <c r="N17" s="61"/>
      <c r="O17" s="61"/>
      <c r="P17" s="61" t="s">
        <v>260</v>
      </c>
      <c r="Q17" s="61">
        <v>1</v>
      </c>
      <c r="R17" s="61"/>
      <c r="S17" s="61" t="s">
        <v>199</v>
      </c>
      <c r="T17" s="61">
        <v>1</v>
      </c>
      <c r="U17" s="61"/>
      <c r="V17" s="61" t="s">
        <v>302</v>
      </c>
      <c r="W17" s="61">
        <v>0</v>
      </c>
      <c r="X17" s="61"/>
      <c r="Y17" s="61" t="s">
        <v>289</v>
      </c>
      <c r="Z17" s="61">
        <v>0</v>
      </c>
      <c r="AA17" s="61"/>
      <c r="AB17" s="61" t="s">
        <v>290</v>
      </c>
      <c r="AC17" s="61"/>
      <c r="AD17" s="61">
        <v>1</v>
      </c>
      <c r="AE17" s="61" t="s">
        <v>203</v>
      </c>
      <c r="AF17" s="61"/>
      <c r="AG17" s="61">
        <v>1</v>
      </c>
      <c r="AH17" s="61" t="s">
        <v>303</v>
      </c>
      <c r="AI17" s="61"/>
      <c r="AJ17" s="61">
        <v>0</v>
      </c>
      <c r="AK17" s="61" t="s">
        <v>264</v>
      </c>
      <c r="AL17" s="61"/>
      <c r="AM17" s="61">
        <v>0</v>
      </c>
      <c r="AN17" s="61" t="s">
        <v>206</v>
      </c>
      <c r="AO17" s="61"/>
      <c r="AP17" s="61">
        <v>1</v>
      </c>
      <c r="AQ17" s="61" t="s">
        <v>207</v>
      </c>
      <c r="AR17" s="61"/>
      <c r="AS17" s="61">
        <v>1</v>
      </c>
      <c r="AT17" s="61" t="s">
        <v>292</v>
      </c>
      <c r="AU17" s="61"/>
      <c r="AV17" s="61">
        <v>0</v>
      </c>
      <c r="AW17" s="61" t="s">
        <v>265</v>
      </c>
      <c r="AX17" s="61"/>
      <c r="AY17" s="61">
        <v>0</v>
      </c>
      <c r="AZ17" s="61" t="s">
        <v>210</v>
      </c>
      <c r="BA17" s="61"/>
      <c r="BB17" s="61">
        <v>1</v>
      </c>
      <c r="BC17" s="61" t="s">
        <v>211</v>
      </c>
      <c r="BD17" s="61"/>
      <c r="BE17" s="61">
        <v>1</v>
      </c>
      <c r="BF17" s="61" t="s">
        <v>212</v>
      </c>
      <c r="BG17" s="61"/>
      <c r="BH17" s="61">
        <v>1</v>
      </c>
      <c r="BI17" s="61" t="s">
        <v>213</v>
      </c>
      <c r="BJ17" s="61"/>
      <c r="BK17" s="61">
        <v>1</v>
      </c>
      <c r="BL17" s="61" t="s">
        <v>214</v>
      </c>
      <c r="BM17" s="61"/>
      <c r="BN17" s="61">
        <v>1</v>
      </c>
      <c r="BO17" s="61" t="s">
        <v>215</v>
      </c>
      <c r="BP17" s="61"/>
      <c r="BQ17" s="61">
        <v>1</v>
      </c>
      <c r="BR17" s="61" t="s">
        <v>216</v>
      </c>
      <c r="BS17" s="61"/>
      <c r="BT17" s="61">
        <v>1</v>
      </c>
      <c r="BU17" s="61" t="s">
        <v>217</v>
      </c>
      <c r="BV17" s="61">
        <v>1</v>
      </c>
      <c r="BW17" s="61"/>
      <c r="BX17" s="61" t="s">
        <v>218</v>
      </c>
      <c r="BY17" s="61">
        <v>1</v>
      </c>
      <c r="BZ17" s="61"/>
      <c r="CA17" s="61" t="s">
        <v>219</v>
      </c>
      <c r="CB17" s="61">
        <v>1</v>
      </c>
      <c r="CC17" s="61"/>
      <c r="CD17" s="61" t="s">
        <v>271</v>
      </c>
      <c r="CE17" s="61">
        <v>1</v>
      </c>
      <c r="CF17" s="61"/>
      <c r="CG17" s="61" t="s">
        <v>306</v>
      </c>
      <c r="CH17" s="61">
        <v>0</v>
      </c>
      <c r="CI17" s="61"/>
      <c r="CJ17" s="61" t="s">
        <v>222</v>
      </c>
      <c r="CK17" s="61"/>
      <c r="CL17" s="61">
        <v>1</v>
      </c>
      <c r="CM17" s="61" t="s">
        <v>223</v>
      </c>
      <c r="CN17" s="61"/>
      <c r="CO17" s="61">
        <v>1</v>
      </c>
      <c r="CP17" s="61" t="s">
        <v>224</v>
      </c>
      <c r="CQ17" s="61"/>
      <c r="CR17" s="61">
        <v>1</v>
      </c>
      <c r="CS17" s="61" t="s">
        <v>225</v>
      </c>
      <c r="CT17" s="61"/>
      <c r="CU17" s="61">
        <v>1</v>
      </c>
      <c r="CV17" s="61" t="s">
        <v>226</v>
      </c>
      <c r="CW17" s="61"/>
      <c r="CX17" s="61">
        <v>1</v>
      </c>
      <c r="CY17" s="61" t="s">
        <v>227</v>
      </c>
      <c r="CZ17" s="61"/>
      <c r="DA17" s="61">
        <v>1</v>
      </c>
      <c r="DB17" s="61" t="s">
        <v>228</v>
      </c>
      <c r="DC17" s="61"/>
      <c r="DD17" s="61">
        <v>1</v>
      </c>
      <c r="DE17" s="61" t="s">
        <v>229</v>
      </c>
      <c r="DF17" s="61"/>
      <c r="DG17" s="61">
        <v>1</v>
      </c>
      <c r="DH17" s="61" t="s">
        <v>230</v>
      </c>
      <c r="DI17" s="61"/>
      <c r="DJ17" s="61">
        <v>1</v>
      </c>
      <c r="DK17" s="61" t="s">
        <v>231</v>
      </c>
      <c r="DL17" s="61"/>
      <c r="DM17" s="61">
        <v>1</v>
      </c>
      <c r="DN17" s="61" t="s">
        <v>232</v>
      </c>
      <c r="DO17" s="61"/>
      <c r="DP17" s="61">
        <v>1</v>
      </c>
      <c r="DQ17" s="61" t="s">
        <v>233</v>
      </c>
      <c r="DR17" s="61"/>
      <c r="DS17" s="61">
        <v>1</v>
      </c>
      <c r="DT17" s="61" t="s">
        <v>234</v>
      </c>
      <c r="DU17" s="61"/>
      <c r="DV17" s="61">
        <v>1</v>
      </c>
      <c r="DW17" s="61" t="s">
        <v>235</v>
      </c>
      <c r="DX17" s="61"/>
      <c r="DY17" s="61">
        <v>1</v>
      </c>
      <c r="DZ17" s="61" t="s">
        <v>236</v>
      </c>
      <c r="EA17" s="61"/>
      <c r="EB17" s="61">
        <v>1</v>
      </c>
      <c r="EC17" s="61" t="s">
        <v>237</v>
      </c>
      <c r="ED17" s="61"/>
      <c r="EE17" s="61">
        <v>1</v>
      </c>
      <c r="EF17" s="61" t="s">
        <v>238</v>
      </c>
      <c r="EG17" s="61"/>
      <c r="EH17" s="61">
        <v>1</v>
      </c>
      <c r="EI17" s="61" t="s">
        <v>239</v>
      </c>
      <c r="EJ17" s="61"/>
      <c r="EK17" s="61">
        <v>1</v>
      </c>
      <c r="EL17" s="61" t="s">
        <v>348</v>
      </c>
      <c r="EM17" s="61"/>
      <c r="EN17" s="61">
        <v>0</v>
      </c>
      <c r="EO17" s="61" t="s">
        <v>241</v>
      </c>
      <c r="EP17" s="61"/>
      <c r="EQ17" s="61">
        <v>1</v>
      </c>
      <c r="ER17" s="61" t="s">
        <v>309</v>
      </c>
      <c r="ES17" s="61"/>
      <c r="ET17" s="61">
        <v>0</v>
      </c>
      <c r="EU17" s="61" t="s">
        <v>243</v>
      </c>
      <c r="EV17" s="61"/>
      <c r="EW17" s="61">
        <v>1</v>
      </c>
      <c r="EX17" s="61" t="s">
        <v>340</v>
      </c>
      <c r="EY17" s="61"/>
      <c r="EZ17" s="61">
        <v>0</v>
      </c>
      <c r="FA17" s="61" t="s">
        <v>280</v>
      </c>
      <c r="FB17" s="61"/>
      <c r="FC17" s="61">
        <v>0</v>
      </c>
      <c r="FD17" s="61" t="s">
        <v>246</v>
      </c>
      <c r="FE17" s="61"/>
      <c r="FF17" s="61">
        <v>1</v>
      </c>
      <c r="FG17" s="61" t="s">
        <v>247</v>
      </c>
      <c r="FH17" s="61"/>
      <c r="FI17" s="61">
        <v>1</v>
      </c>
      <c r="FJ17" s="61" t="s">
        <v>349</v>
      </c>
      <c r="FK17" s="61"/>
      <c r="FL17" s="61">
        <v>0</v>
      </c>
      <c r="FM17" s="61" t="s">
        <v>249</v>
      </c>
      <c r="FN17" s="61"/>
      <c r="FO17" s="61">
        <v>1</v>
      </c>
      <c r="FP17" s="61" t="s">
        <v>250</v>
      </c>
      <c r="FQ17" s="61"/>
      <c r="FR17" s="61">
        <v>1</v>
      </c>
      <c r="FS17" s="61" t="s">
        <v>251</v>
      </c>
      <c r="FT17" s="61"/>
      <c r="FU17" s="61">
        <v>1</v>
      </c>
      <c r="FV17" s="61" t="s">
        <v>252</v>
      </c>
      <c r="FW17" s="61"/>
      <c r="FX17" s="61">
        <v>1</v>
      </c>
      <c r="FY17" s="61" t="s">
        <v>253</v>
      </c>
      <c r="FZ17" s="61"/>
      <c r="GA17" s="61">
        <v>1</v>
      </c>
      <c r="GB17" s="61" t="s">
        <v>254</v>
      </c>
      <c r="GC17" s="61"/>
      <c r="GD17" s="61">
        <v>1</v>
      </c>
      <c r="GE17" s="61" t="s">
        <v>255</v>
      </c>
      <c r="GF17" s="61"/>
      <c r="GG17" s="61">
        <v>1</v>
      </c>
      <c r="GH17" s="61" t="s">
        <v>256</v>
      </c>
      <c r="GI17" s="61"/>
      <c r="GJ17" s="61">
        <v>1</v>
      </c>
      <c r="GK17" s="61" t="s">
        <v>257</v>
      </c>
      <c r="GL17" s="61"/>
      <c r="GM17" s="61">
        <v>1</v>
      </c>
    </row>
    <row r="18" spans="1:195">
      <c r="A18" s="62">
        <v>17</v>
      </c>
      <c r="B18" s="61" t="s">
        <v>383</v>
      </c>
      <c r="C18" s="61" t="s">
        <v>384</v>
      </c>
      <c r="D18" s="61" t="s">
        <v>197</v>
      </c>
      <c r="E18" s="61"/>
      <c r="F18" s="61">
        <v>39</v>
      </c>
      <c r="G18" s="61"/>
      <c r="H18" s="61"/>
      <c r="I18" s="61"/>
      <c r="J18" s="61"/>
      <c r="K18" s="61"/>
      <c r="L18" s="65" t="s">
        <v>611</v>
      </c>
      <c r="M18" s="61" t="s">
        <v>612</v>
      </c>
      <c r="N18" s="61"/>
      <c r="O18" s="61"/>
      <c r="P18" s="61" t="s">
        <v>364</v>
      </c>
      <c r="Q18" s="61">
        <v>0</v>
      </c>
      <c r="R18" s="61"/>
      <c r="S18" s="61" t="s">
        <v>199</v>
      </c>
      <c r="T18" s="61">
        <v>1</v>
      </c>
      <c r="U18" s="61"/>
      <c r="V18" s="61" t="s">
        <v>302</v>
      </c>
      <c r="W18" s="61">
        <v>0</v>
      </c>
      <c r="X18" s="61"/>
      <c r="Y18" s="61" t="s">
        <v>261</v>
      </c>
      <c r="Z18" s="61">
        <v>1</v>
      </c>
      <c r="AA18" s="61"/>
      <c r="AB18" s="61" t="s">
        <v>290</v>
      </c>
      <c r="AC18" s="61"/>
      <c r="AD18" s="61">
        <v>1</v>
      </c>
      <c r="AE18" s="61" t="s">
        <v>203</v>
      </c>
      <c r="AF18" s="61"/>
      <c r="AG18" s="61">
        <v>1</v>
      </c>
      <c r="AH18" s="61" t="s">
        <v>263</v>
      </c>
      <c r="AI18" s="61"/>
      <c r="AJ18" s="61">
        <v>0</v>
      </c>
      <c r="AK18" s="61" t="s">
        <v>264</v>
      </c>
      <c r="AL18" s="61"/>
      <c r="AM18" s="61">
        <v>0</v>
      </c>
      <c r="AN18" s="61" t="s">
        <v>206</v>
      </c>
      <c r="AO18" s="61"/>
      <c r="AP18" s="61">
        <v>1</v>
      </c>
      <c r="AQ18" s="61" t="s">
        <v>207</v>
      </c>
      <c r="AR18" s="61"/>
      <c r="AS18" s="61">
        <v>1</v>
      </c>
      <c r="AT18" s="61" t="s">
        <v>338</v>
      </c>
      <c r="AU18" s="61"/>
      <c r="AV18" s="61">
        <v>0</v>
      </c>
      <c r="AW18" s="61" t="s">
        <v>305</v>
      </c>
      <c r="AX18" s="61"/>
      <c r="AY18" s="61">
        <v>0</v>
      </c>
      <c r="AZ18" s="61" t="s">
        <v>210</v>
      </c>
      <c r="BA18" s="61"/>
      <c r="BB18" s="61">
        <v>1</v>
      </c>
      <c r="BC18" s="61" t="s">
        <v>315</v>
      </c>
      <c r="BD18" s="61"/>
      <c r="BE18" s="61">
        <v>0</v>
      </c>
      <c r="BF18" s="61" t="s">
        <v>267</v>
      </c>
      <c r="BG18" s="61"/>
      <c r="BH18" s="61">
        <v>0</v>
      </c>
      <c r="BI18" s="61" t="s">
        <v>213</v>
      </c>
      <c r="BJ18" s="61"/>
      <c r="BK18" s="61">
        <v>1</v>
      </c>
      <c r="BL18" s="61" t="s">
        <v>214</v>
      </c>
      <c r="BM18" s="61"/>
      <c r="BN18" s="61">
        <v>1</v>
      </c>
      <c r="BO18" s="61" t="s">
        <v>215</v>
      </c>
      <c r="BP18" s="61"/>
      <c r="BQ18" s="61">
        <v>1</v>
      </c>
      <c r="BR18" s="61" t="s">
        <v>216</v>
      </c>
      <c r="BS18" s="61"/>
      <c r="BT18" s="61">
        <v>1</v>
      </c>
      <c r="BU18" s="61" t="s">
        <v>217</v>
      </c>
      <c r="BV18" s="61">
        <v>1</v>
      </c>
      <c r="BW18" s="61"/>
      <c r="BX18" s="61" t="s">
        <v>269</v>
      </c>
      <c r="BY18" s="61">
        <v>0</v>
      </c>
      <c r="BZ18" s="61"/>
      <c r="CA18" s="61" t="s">
        <v>295</v>
      </c>
      <c r="CB18" s="61">
        <v>0</v>
      </c>
      <c r="CC18" s="61"/>
      <c r="CD18" s="61" t="s">
        <v>271</v>
      </c>
      <c r="CE18" s="61">
        <v>1</v>
      </c>
      <c r="CF18" s="61"/>
      <c r="CG18" s="61" t="s">
        <v>221</v>
      </c>
      <c r="CH18" s="61">
        <v>1</v>
      </c>
      <c r="CI18" s="61"/>
      <c r="CJ18" s="61" t="s">
        <v>222</v>
      </c>
      <c r="CK18" s="61"/>
      <c r="CL18" s="61">
        <v>1</v>
      </c>
      <c r="CM18" s="61" t="s">
        <v>223</v>
      </c>
      <c r="CN18" s="61"/>
      <c r="CO18" s="61">
        <v>1</v>
      </c>
      <c r="CP18" s="61" t="s">
        <v>224</v>
      </c>
      <c r="CQ18" s="61"/>
      <c r="CR18" s="61">
        <v>1</v>
      </c>
      <c r="CS18" s="61" t="s">
        <v>225</v>
      </c>
      <c r="CT18" s="61"/>
      <c r="CU18" s="61">
        <v>1</v>
      </c>
      <c r="CV18" s="61" t="s">
        <v>374</v>
      </c>
      <c r="CW18" s="61"/>
      <c r="CX18" s="61">
        <v>0</v>
      </c>
      <c r="CY18" s="61" t="s">
        <v>227</v>
      </c>
      <c r="CZ18" s="61"/>
      <c r="DA18" s="61">
        <v>1</v>
      </c>
      <c r="DB18" s="61" t="s">
        <v>228</v>
      </c>
      <c r="DC18" s="61"/>
      <c r="DD18" s="61">
        <v>1</v>
      </c>
      <c r="DE18" s="61" t="s">
        <v>296</v>
      </c>
      <c r="DF18" s="61"/>
      <c r="DG18" s="61">
        <v>0</v>
      </c>
      <c r="DH18" s="61" t="s">
        <v>230</v>
      </c>
      <c r="DI18" s="61"/>
      <c r="DJ18" s="61">
        <v>1</v>
      </c>
      <c r="DK18" s="61" t="s">
        <v>231</v>
      </c>
      <c r="DL18" s="61"/>
      <c r="DM18" s="61">
        <v>1</v>
      </c>
      <c r="DN18" s="61" t="s">
        <v>232</v>
      </c>
      <c r="DO18" s="61"/>
      <c r="DP18" s="61">
        <v>1</v>
      </c>
      <c r="DQ18" s="61" t="s">
        <v>233</v>
      </c>
      <c r="DR18" s="61"/>
      <c r="DS18" s="61">
        <v>1</v>
      </c>
      <c r="DT18" s="61" t="s">
        <v>308</v>
      </c>
      <c r="DU18" s="61"/>
      <c r="DV18" s="61">
        <v>0</v>
      </c>
      <c r="DW18" s="61" t="s">
        <v>235</v>
      </c>
      <c r="DX18" s="61"/>
      <c r="DY18" s="61">
        <v>1</v>
      </c>
      <c r="DZ18" s="61" t="s">
        <v>328</v>
      </c>
      <c r="EA18" s="61"/>
      <c r="EB18" s="61">
        <v>0</v>
      </c>
      <c r="EC18" s="61" t="s">
        <v>385</v>
      </c>
      <c r="ED18" s="61"/>
      <c r="EE18" s="61">
        <v>0</v>
      </c>
      <c r="EF18" s="61" t="s">
        <v>238</v>
      </c>
      <c r="EG18" s="61"/>
      <c r="EH18" s="61">
        <v>1</v>
      </c>
      <c r="EI18" s="61" t="s">
        <v>239</v>
      </c>
      <c r="EJ18" s="61"/>
      <c r="EK18" s="61">
        <v>1</v>
      </c>
      <c r="EL18" s="61" t="s">
        <v>348</v>
      </c>
      <c r="EM18" s="61"/>
      <c r="EN18" s="61">
        <v>0</v>
      </c>
      <c r="EO18" s="61" t="s">
        <v>329</v>
      </c>
      <c r="EP18" s="61"/>
      <c r="EQ18" s="61">
        <v>0</v>
      </c>
      <c r="ER18" s="61" t="s">
        <v>242</v>
      </c>
      <c r="ES18" s="61"/>
      <c r="ET18" s="61">
        <v>1</v>
      </c>
      <c r="EU18" s="61" t="s">
        <v>243</v>
      </c>
      <c r="EV18" s="61"/>
      <c r="EW18" s="61">
        <v>1</v>
      </c>
      <c r="EX18" s="61" t="s">
        <v>340</v>
      </c>
      <c r="EY18" s="61"/>
      <c r="EZ18" s="61">
        <v>0</v>
      </c>
      <c r="FA18" s="61" t="s">
        <v>245</v>
      </c>
      <c r="FB18" s="61"/>
      <c r="FC18" s="61">
        <v>1</v>
      </c>
      <c r="FD18" s="61" t="s">
        <v>246</v>
      </c>
      <c r="FE18" s="61"/>
      <c r="FF18" s="61">
        <v>1</v>
      </c>
      <c r="FG18" s="61" t="s">
        <v>247</v>
      </c>
      <c r="FH18" s="61"/>
      <c r="FI18" s="61">
        <v>1</v>
      </c>
      <c r="FJ18" s="61" t="s">
        <v>298</v>
      </c>
      <c r="FK18" s="61"/>
      <c r="FL18" s="61">
        <v>1</v>
      </c>
      <c r="FM18" s="61" t="s">
        <v>249</v>
      </c>
      <c r="FN18" s="61"/>
      <c r="FO18" s="61">
        <v>1</v>
      </c>
      <c r="FP18" s="61" t="s">
        <v>250</v>
      </c>
      <c r="FQ18" s="61"/>
      <c r="FR18" s="61">
        <v>1</v>
      </c>
      <c r="FS18" s="61" t="s">
        <v>251</v>
      </c>
      <c r="FT18" s="61"/>
      <c r="FU18" s="61">
        <v>1</v>
      </c>
      <c r="FV18" s="61" t="s">
        <v>252</v>
      </c>
      <c r="FW18" s="61"/>
      <c r="FX18" s="61">
        <v>1</v>
      </c>
      <c r="FY18" s="61" t="s">
        <v>253</v>
      </c>
      <c r="FZ18" s="61"/>
      <c r="GA18" s="61">
        <v>1</v>
      </c>
      <c r="GB18" s="61" t="s">
        <v>254</v>
      </c>
      <c r="GC18" s="61"/>
      <c r="GD18" s="61">
        <v>1</v>
      </c>
      <c r="GE18" s="61" t="s">
        <v>284</v>
      </c>
      <c r="GF18" s="61"/>
      <c r="GG18" s="61">
        <v>0</v>
      </c>
      <c r="GH18" s="61" t="s">
        <v>285</v>
      </c>
      <c r="GI18" s="61"/>
      <c r="GJ18" s="61">
        <v>0</v>
      </c>
      <c r="GK18" s="61" t="s">
        <v>286</v>
      </c>
      <c r="GL18" s="61"/>
      <c r="GM18" s="61">
        <v>0</v>
      </c>
    </row>
    <row r="19" spans="1:195">
      <c r="A19" s="62">
        <v>18</v>
      </c>
      <c r="B19" s="61" t="s">
        <v>386</v>
      </c>
      <c r="C19" s="61" t="s">
        <v>387</v>
      </c>
      <c r="D19" s="61" t="s">
        <v>197</v>
      </c>
      <c r="E19" s="61"/>
      <c r="F19" s="61">
        <v>45</v>
      </c>
      <c r="G19" s="61"/>
      <c r="H19" s="61"/>
      <c r="I19" s="61"/>
      <c r="J19" s="61"/>
      <c r="K19" s="61"/>
      <c r="L19" s="65" t="s">
        <v>613</v>
      </c>
      <c r="M19" s="61" t="s">
        <v>614</v>
      </c>
      <c r="N19" s="61"/>
      <c r="O19" s="61"/>
      <c r="P19" s="61" t="s">
        <v>198</v>
      </c>
      <c r="Q19" s="61">
        <v>0</v>
      </c>
      <c r="R19" s="61"/>
      <c r="S19" s="61" t="s">
        <v>199</v>
      </c>
      <c r="T19" s="61">
        <v>1</v>
      </c>
      <c r="U19" s="61"/>
      <c r="V19" s="61" t="s">
        <v>200</v>
      </c>
      <c r="W19" s="61">
        <v>1</v>
      </c>
      <c r="X19" s="61"/>
      <c r="Y19" s="61" t="s">
        <v>201</v>
      </c>
      <c r="Z19" s="61">
        <v>0</v>
      </c>
      <c r="AA19" s="61"/>
      <c r="AB19" s="61" t="s">
        <v>336</v>
      </c>
      <c r="AC19" s="61"/>
      <c r="AD19" s="61">
        <v>0</v>
      </c>
      <c r="AE19" s="61" t="s">
        <v>203</v>
      </c>
      <c r="AF19" s="61"/>
      <c r="AG19" s="61">
        <v>1</v>
      </c>
      <c r="AH19" s="61" t="s">
        <v>303</v>
      </c>
      <c r="AI19" s="61"/>
      <c r="AJ19" s="61">
        <v>0</v>
      </c>
      <c r="AK19" s="61" t="s">
        <v>205</v>
      </c>
      <c r="AL19" s="61"/>
      <c r="AM19" s="61">
        <v>1</v>
      </c>
      <c r="AN19" s="61" t="s">
        <v>291</v>
      </c>
      <c r="AO19" s="61"/>
      <c r="AP19" s="61">
        <v>0</v>
      </c>
      <c r="AQ19" s="61" t="s">
        <v>207</v>
      </c>
      <c r="AR19" s="61"/>
      <c r="AS19" s="61">
        <v>1</v>
      </c>
      <c r="AT19" s="61" t="s">
        <v>208</v>
      </c>
      <c r="AU19" s="61"/>
      <c r="AV19" s="61">
        <v>1</v>
      </c>
      <c r="AW19" s="61" t="s">
        <v>305</v>
      </c>
      <c r="AX19" s="61"/>
      <c r="AY19" s="61">
        <v>0</v>
      </c>
      <c r="AZ19" s="61" t="s">
        <v>210</v>
      </c>
      <c r="BA19" s="61"/>
      <c r="BB19" s="61">
        <v>1</v>
      </c>
      <c r="BC19" s="61" t="s">
        <v>211</v>
      </c>
      <c r="BD19" s="61"/>
      <c r="BE19" s="61">
        <v>1</v>
      </c>
      <c r="BF19" s="61" t="s">
        <v>388</v>
      </c>
      <c r="BG19" s="61"/>
      <c r="BH19" s="61">
        <v>0</v>
      </c>
      <c r="BI19" s="61" t="s">
        <v>268</v>
      </c>
      <c r="BJ19" s="61"/>
      <c r="BK19" s="61">
        <v>0</v>
      </c>
      <c r="BL19" s="61" t="s">
        <v>214</v>
      </c>
      <c r="BM19" s="61"/>
      <c r="BN19" s="61">
        <v>1</v>
      </c>
      <c r="BO19" s="61" t="s">
        <v>215</v>
      </c>
      <c r="BP19" s="61"/>
      <c r="BQ19" s="61">
        <v>1</v>
      </c>
      <c r="BR19" s="61" t="s">
        <v>216</v>
      </c>
      <c r="BS19" s="61"/>
      <c r="BT19" s="61">
        <v>1</v>
      </c>
      <c r="BU19" s="61" t="s">
        <v>217</v>
      </c>
      <c r="BV19" s="61">
        <v>1</v>
      </c>
      <c r="BW19" s="61"/>
      <c r="BX19" s="61" t="s">
        <v>218</v>
      </c>
      <c r="BY19" s="61">
        <v>1</v>
      </c>
      <c r="BZ19" s="61"/>
      <c r="CA19" s="61" t="s">
        <v>270</v>
      </c>
      <c r="CB19" s="61">
        <v>0</v>
      </c>
      <c r="CC19" s="61"/>
      <c r="CD19" s="61" t="s">
        <v>271</v>
      </c>
      <c r="CE19" s="61">
        <v>1</v>
      </c>
      <c r="CF19" s="61"/>
      <c r="CG19" s="61" t="s">
        <v>221</v>
      </c>
      <c r="CH19" s="61">
        <v>1</v>
      </c>
      <c r="CI19" s="61"/>
      <c r="CJ19" s="61" t="s">
        <v>222</v>
      </c>
      <c r="CK19" s="61"/>
      <c r="CL19" s="61">
        <v>1</v>
      </c>
      <c r="CM19" s="61" t="s">
        <v>223</v>
      </c>
      <c r="CN19" s="61"/>
      <c r="CO19" s="61">
        <v>1</v>
      </c>
      <c r="CP19" s="61" t="s">
        <v>224</v>
      </c>
      <c r="CQ19" s="61"/>
      <c r="CR19" s="61">
        <v>1</v>
      </c>
      <c r="CS19" s="61" t="s">
        <v>225</v>
      </c>
      <c r="CT19" s="61"/>
      <c r="CU19" s="61">
        <v>1</v>
      </c>
      <c r="CV19" s="61" t="s">
        <v>226</v>
      </c>
      <c r="CW19" s="61"/>
      <c r="CX19" s="61">
        <v>1</v>
      </c>
      <c r="CY19" s="61" t="s">
        <v>227</v>
      </c>
      <c r="CZ19" s="61"/>
      <c r="DA19" s="61">
        <v>1</v>
      </c>
      <c r="DB19" s="61" t="s">
        <v>228</v>
      </c>
      <c r="DC19" s="61"/>
      <c r="DD19" s="61">
        <v>1</v>
      </c>
      <c r="DE19" s="61" t="s">
        <v>229</v>
      </c>
      <c r="DF19" s="61"/>
      <c r="DG19" s="61">
        <v>1</v>
      </c>
      <c r="DH19" s="61" t="s">
        <v>230</v>
      </c>
      <c r="DI19" s="61"/>
      <c r="DJ19" s="61">
        <v>1</v>
      </c>
      <c r="DK19" s="61" t="s">
        <v>231</v>
      </c>
      <c r="DL19" s="61"/>
      <c r="DM19" s="61">
        <v>1</v>
      </c>
      <c r="DN19" s="61" t="s">
        <v>232</v>
      </c>
      <c r="DO19" s="61"/>
      <c r="DP19" s="61">
        <v>1</v>
      </c>
      <c r="DQ19" s="61" t="s">
        <v>233</v>
      </c>
      <c r="DR19" s="61"/>
      <c r="DS19" s="61">
        <v>1</v>
      </c>
      <c r="DT19" s="61" t="s">
        <v>234</v>
      </c>
      <c r="DU19" s="61"/>
      <c r="DV19" s="61">
        <v>1</v>
      </c>
      <c r="DW19" s="61" t="s">
        <v>235</v>
      </c>
      <c r="DX19" s="61"/>
      <c r="DY19" s="61">
        <v>1</v>
      </c>
      <c r="DZ19" s="61" t="s">
        <v>275</v>
      </c>
      <c r="EA19" s="61"/>
      <c r="EB19" s="61">
        <v>0</v>
      </c>
      <c r="EC19" s="61" t="s">
        <v>237</v>
      </c>
      <c r="ED19" s="61"/>
      <c r="EE19" s="61">
        <v>1</v>
      </c>
      <c r="EF19" s="61" t="s">
        <v>238</v>
      </c>
      <c r="EG19" s="61"/>
      <c r="EH19" s="61">
        <v>1</v>
      </c>
      <c r="EI19" s="61" t="s">
        <v>239</v>
      </c>
      <c r="EJ19" s="61"/>
      <c r="EK19" s="61">
        <v>1</v>
      </c>
      <c r="EL19" s="61" t="s">
        <v>240</v>
      </c>
      <c r="EM19" s="61"/>
      <c r="EN19" s="61">
        <v>1</v>
      </c>
      <c r="EO19" s="61" t="s">
        <v>241</v>
      </c>
      <c r="EP19" s="61"/>
      <c r="EQ19" s="61">
        <v>1</v>
      </c>
      <c r="ER19" s="61" t="s">
        <v>242</v>
      </c>
      <c r="ES19" s="61"/>
      <c r="ET19" s="61">
        <v>1</v>
      </c>
      <c r="EU19" s="61" t="s">
        <v>243</v>
      </c>
      <c r="EV19" s="61"/>
      <c r="EW19" s="61">
        <v>1</v>
      </c>
      <c r="EX19" s="61" t="s">
        <v>244</v>
      </c>
      <c r="EY19" s="61"/>
      <c r="EZ19" s="61">
        <v>1</v>
      </c>
      <c r="FA19" s="61" t="s">
        <v>321</v>
      </c>
      <c r="FB19" s="61"/>
      <c r="FC19" s="61">
        <v>0</v>
      </c>
      <c r="FD19" s="61" t="s">
        <v>246</v>
      </c>
      <c r="FE19" s="61"/>
      <c r="FF19" s="61">
        <v>1</v>
      </c>
      <c r="FG19" s="61" t="s">
        <v>247</v>
      </c>
      <c r="FH19" s="61"/>
      <c r="FI19" s="61">
        <v>1</v>
      </c>
      <c r="FJ19" s="61" t="s">
        <v>298</v>
      </c>
      <c r="FK19" s="61"/>
      <c r="FL19" s="61">
        <v>1</v>
      </c>
      <c r="FM19" s="61" t="s">
        <v>311</v>
      </c>
      <c r="FN19" s="61"/>
      <c r="FO19" s="61">
        <v>0</v>
      </c>
      <c r="FP19" s="61" t="s">
        <v>250</v>
      </c>
      <c r="FQ19" s="61"/>
      <c r="FR19" s="61">
        <v>1</v>
      </c>
      <c r="FS19" s="61" t="s">
        <v>251</v>
      </c>
      <c r="FT19" s="61"/>
      <c r="FU19" s="61">
        <v>1</v>
      </c>
      <c r="FV19" s="61" t="s">
        <v>252</v>
      </c>
      <c r="FW19" s="61"/>
      <c r="FX19" s="61">
        <v>1</v>
      </c>
      <c r="FY19" s="61" t="s">
        <v>253</v>
      </c>
      <c r="FZ19" s="61"/>
      <c r="GA19" s="61">
        <v>1</v>
      </c>
      <c r="GB19" s="61" t="s">
        <v>389</v>
      </c>
      <c r="GC19" s="61"/>
      <c r="GD19" s="61">
        <v>0</v>
      </c>
      <c r="GE19" s="61" t="s">
        <v>284</v>
      </c>
      <c r="GF19" s="61"/>
      <c r="GG19" s="61">
        <v>0</v>
      </c>
      <c r="GH19" s="61" t="s">
        <v>256</v>
      </c>
      <c r="GI19" s="61"/>
      <c r="GJ19" s="61">
        <v>1</v>
      </c>
      <c r="GK19" s="61" t="s">
        <v>286</v>
      </c>
      <c r="GL19" s="61"/>
      <c r="GM19" s="61">
        <v>0</v>
      </c>
    </row>
    <row r="20" spans="1:195">
      <c r="A20" s="62">
        <v>19</v>
      </c>
      <c r="B20" s="61" t="s">
        <v>390</v>
      </c>
      <c r="C20" s="61" t="s">
        <v>391</v>
      </c>
      <c r="D20" s="61" t="s">
        <v>197</v>
      </c>
      <c r="E20" s="61"/>
      <c r="F20" s="61">
        <v>48</v>
      </c>
      <c r="G20" s="61"/>
      <c r="H20" s="61"/>
      <c r="I20" s="61"/>
      <c r="J20" s="61"/>
      <c r="K20" s="61"/>
      <c r="L20" s="65" t="s">
        <v>615</v>
      </c>
      <c r="M20" s="61" t="s">
        <v>616</v>
      </c>
      <c r="N20" s="61"/>
      <c r="O20" s="61"/>
      <c r="P20" s="61" t="s">
        <v>358</v>
      </c>
      <c r="Q20" s="61">
        <v>0</v>
      </c>
      <c r="R20" s="61"/>
      <c r="S20" s="61" t="s">
        <v>199</v>
      </c>
      <c r="T20" s="61">
        <v>1</v>
      </c>
      <c r="U20" s="61"/>
      <c r="V20" s="61" t="s">
        <v>200</v>
      </c>
      <c r="W20" s="61">
        <v>1</v>
      </c>
      <c r="X20" s="61"/>
      <c r="Y20" s="61" t="s">
        <v>261</v>
      </c>
      <c r="Z20" s="61">
        <v>1</v>
      </c>
      <c r="AA20" s="61"/>
      <c r="AB20" s="61" t="s">
        <v>336</v>
      </c>
      <c r="AC20" s="61"/>
      <c r="AD20" s="61">
        <v>0</v>
      </c>
      <c r="AE20" s="61" t="s">
        <v>203</v>
      </c>
      <c r="AF20" s="61"/>
      <c r="AG20" s="61">
        <v>1</v>
      </c>
      <c r="AH20" s="61" t="s">
        <v>204</v>
      </c>
      <c r="AI20" s="61"/>
      <c r="AJ20" s="61">
        <v>1</v>
      </c>
      <c r="AK20" s="61" t="s">
        <v>205</v>
      </c>
      <c r="AL20" s="61"/>
      <c r="AM20" s="61">
        <v>1</v>
      </c>
      <c r="AN20" s="61" t="s">
        <v>206</v>
      </c>
      <c r="AO20" s="61"/>
      <c r="AP20" s="61">
        <v>1</v>
      </c>
      <c r="AQ20" s="61" t="s">
        <v>207</v>
      </c>
      <c r="AR20" s="61"/>
      <c r="AS20" s="61">
        <v>1</v>
      </c>
      <c r="AT20" s="61" t="s">
        <v>208</v>
      </c>
      <c r="AU20" s="61"/>
      <c r="AV20" s="61">
        <v>1</v>
      </c>
      <c r="AW20" s="61" t="s">
        <v>305</v>
      </c>
      <c r="AX20" s="61"/>
      <c r="AY20" s="61">
        <v>0</v>
      </c>
      <c r="AZ20" s="61" t="s">
        <v>210</v>
      </c>
      <c r="BA20" s="61"/>
      <c r="BB20" s="61">
        <v>1</v>
      </c>
      <c r="BC20" s="61" t="s">
        <v>211</v>
      </c>
      <c r="BD20" s="61"/>
      <c r="BE20" s="61">
        <v>1</v>
      </c>
      <c r="BF20" s="61" t="s">
        <v>212</v>
      </c>
      <c r="BG20" s="61"/>
      <c r="BH20" s="61">
        <v>1</v>
      </c>
      <c r="BI20" s="61" t="s">
        <v>213</v>
      </c>
      <c r="BJ20" s="61"/>
      <c r="BK20" s="61">
        <v>1</v>
      </c>
      <c r="BL20" s="61" t="s">
        <v>214</v>
      </c>
      <c r="BM20" s="61"/>
      <c r="BN20" s="61">
        <v>1</v>
      </c>
      <c r="BO20" s="61" t="s">
        <v>392</v>
      </c>
      <c r="BP20" s="61"/>
      <c r="BQ20" s="61">
        <v>0</v>
      </c>
      <c r="BR20" s="61" t="s">
        <v>294</v>
      </c>
      <c r="BS20" s="61"/>
      <c r="BT20" s="61">
        <v>0</v>
      </c>
      <c r="BU20" s="61" t="s">
        <v>217</v>
      </c>
      <c r="BV20" s="61">
        <v>1</v>
      </c>
      <c r="BW20" s="61"/>
      <c r="BX20" s="61" t="s">
        <v>218</v>
      </c>
      <c r="BY20" s="61">
        <v>1</v>
      </c>
      <c r="BZ20" s="61"/>
      <c r="CA20" s="61" t="s">
        <v>295</v>
      </c>
      <c r="CB20" s="61">
        <v>0</v>
      </c>
      <c r="CC20" s="61"/>
      <c r="CD20" s="61" t="s">
        <v>271</v>
      </c>
      <c r="CE20" s="61">
        <v>1</v>
      </c>
      <c r="CF20" s="61"/>
      <c r="CG20" s="61" t="s">
        <v>318</v>
      </c>
      <c r="CH20" s="61">
        <v>0</v>
      </c>
      <c r="CI20" s="61"/>
      <c r="CJ20" s="61" t="s">
        <v>222</v>
      </c>
      <c r="CK20" s="61"/>
      <c r="CL20" s="61">
        <v>1</v>
      </c>
      <c r="CM20" s="61" t="s">
        <v>223</v>
      </c>
      <c r="CN20" s="61"/>
      <c r="CO20" s="61">
        <v>1</v>
      </c>
      <c r="CP20" s="61" t="s">
        <v>224</v>
      </c>
      <c r="CQ20" s="61"/>
      <c r="CR20" s="61">
        <v>1</v>
      </c>
      <c r="CS20" s="61" t="s">
        <v>225</v>
      </c>
      <c r="CT20" s="61"/>
      <c r="CU20" s="61">
        <v>1</v>
      </c>
      <c r="CV20" s="61" t="s">
        <v>226</v>
      </c>
      <c r="CW20" s="61"/>
      <c r="CX20" s="61">
        <v>1</v>
      </c>
      <c r="CY20" s="61" t="s">
        <v>227</v>
      </c>
      <c r="CZ20" s="61"/>
      <c r="DA20" s="61">
        <v>1</v>
      </c>
      <c r="DB20" s="61" t="s">
        <v>228</v>
      </c>
      <c r="DC20" s="61"/>
      <c r="DD20" s="61">
        <v>1</v>
      </c>
      <c r="DE20" s="61" t="s">
        <v>229</v>
      </c>
      <c r="DF20" s="61"/>
      <c r="DG20" s="61">
        <v>1</v>
      </c>
      <c r="DH20" s="61" t="s">
        <v>274</v>
      </c>
      <c r="DI20" s="61"/>
      <c r="DJ20" s="61">
        <v>0</v>
      </c>
      <c r="DK20" s="61" t="s">
        <v>231</v>
      </c>
      <c r="DL20" s="61"/>
      <c r="DM20" s="61">
        <v>1</v>
      </c>
      <c r="DN20" s="61" t="s">
        <v>232</v>
      </c>
      <c r="DO20" s="61"/>
      <c r="DP20" s="61">
        <v>1</v>
      </c>
      <c r="DQ20" s="61" t="s">
        <v>347</v>
      </c>
      <c r="DR20" s="61"/>
      <c r="DS20" s="61">
        <v>0</v>
      </c>
      <c r="DT20" s="61" t="s">
        <v>234</v>
      </c>
      <c r="DU20" s="61"/>
      <c r="DV20" s="61">
        <v>1</v>
      </c>
      <c r="DW20" s="61" t="s">
        <v>235</v>
      </c>
      <c r="DX20" s="61"/>
      <c r="DY20" s="61">
        <v>1</v>
      </c>
      <c r="DZ20" s="61" t="s">
        <v>328</v>
      </c>
      <c r="EA20" s="61"/>
      <c r="EB20" s="61">
        <v>0</v>
      </c>
      <c r="EC20" s="61" t="s">
        <v>237</v>
      </c>
      <c r="ED20" s="61"/>
      <c r="EE20" s="61">
        <v>1</v>
      </c>
      <c r="EF20" s="61" t="s">
        <v>238</v>
      </c>
      <c r="EG20" s="61"/>
      <c r="EH20" s="61">
        <v>1</v>
      </c>
      <c r="EI20" s="61" t="s">
        <v>239</v>
      </c>
      <c r="EJ20" s="61"/>
      <c r="EK20" s="61">
        <v>1</v>
      </c>
      <c r="EL20" s="61" t="s">
        <v>277</v>
      </c>
      <c r="EM20" s="61"/>
      <c r="EN20" s="61">
        <v>0</v>
      </c>
      <c r="EO20" s="61" t="s">
        <v>241</v>
      </c>
      <c r="EP20" s="61"/>
      <c r="EQ20" s="61">
        <v>1</v>
      </c>
      <c r="ER20" s="61" t="s">
        <v>242</v>
      </c>
      <c r="ES20" s="61"/>
      <c r="ET20" s="61">
        <v>1</v>
      </c>
      <c r="EU20" s="61" t="s">
        <v>243</v>
      </c>
      <c r="EV20" s="61"/>
      <c r="EW20" s="61">
        <v>1</v>
      </c>
      <c r="EX20" s="61" t="s">
        <v>244</v>
      </c>
      <c r="EY20" s="61"/>
      <c r="EZ20" s="61">
        <v>1</v>
      </c>
      <c r="FA20" s="61" t="s">
        <v>245</v>
      </c>
      <c r="FB20" s="61"/>
      <c r="FC20" s="61">
        <v>1</v>
      </c>
      <c r="FD20" s="61" t="s">
        <v>246</v>
      </c>
      <c r="FE20" s="61"/>
      <c r="FF20" s="61">
        <v>1</v>
      </c>
      <c r="FG20" s="61" t="s">
        <v>331</v>
      </c>
      <c r="FH20" s="61"/>
      <c r="FI20" s="61">
        <v>0</v>
      </c>
      <c r="FJ20" s="61" t="s">
        <v>298</v>
      </c>
      <c r="FK20" s="61"/>
      <c r="FL20" s="61">
        <v>1</v>
      </c>
      <c r="FM20" s="61" t="s">
        <v>249</v>
      </c>
      <c r="FN20" s="61"/>
      <c r="FO20" s="61">
        <v>1</v>
      </c>
      <c r="FP20" s="61" t="s">
        <v>250</v>
      </c>
      <c r="FQ20" s="61"/>
      <c r="FR20" s="61">
        <v>1</v>
      </c>
      <c r="FS20" s="61" t="s">
        <v>251</v>
      </c>
      <c r="FT20" s="61"/>
      <c r="FU20" s="61">
        <v>1</v>
      </c>
      <c r="FV20" s="61" t="s">
        <v>252</v>
      </c>
      <c r="FW20" s="61"/>
      <c r="FX20" s="61">
        <v>1</v>
      </c>
      <c r="FY20" s="61" t="s">
        <v>253</v>
      </c>
      <c r="FZ20" s="61"/>
      <c r="GA20" s="61">
        <v>1</v>
      </c>
      <c r="GB20" s="61" t="s">
        <v>254</v>
      </c>
      <c r="GC20" s="61"/>
      <c r="GD20" s="61">
        <v>1</v>
      </c>
      <c r="GE20" s="61" t="s">
        <v>255</v>
      </c>
      <c r="GF20" s="61"/>
      <c r="GG20" s="61">
        <v>1</v>
      </c>
      <c r="GH20" s="61" t="s">
        <v>256</v>
      </c>
      <c r="GI20" s="61"/>
      <c r="GJ20" s="61">
        <v>1</v>
      </c>
      <c r="GK20" s="61" t="s">
        <v>257</v>
      </c>
      <c r="GL20" s="61"/>
      <c r="GM20" s="61">
        <v>1</v>
      </c>
    </row>
    <row r="21" spans="1:195">
      <c r="A21" s="62">
        <v>20</v>
      </c>
      <c r="B21" s="61" t="s">
        <v>393</v>
      </c>
      <c r="C21" s="61" t="s">
        <v>394</v>
      </c>
      <c r="D21" s="61" t="s">
        <v>197</v>
      </c>
      <c r="E21" s="61"/>
      <c r="F21" s="61">
        <v>26</v>
      </c>
      <c r="G21" s="61"/>
      <c r="H21" s="61"/>
      <c r="I21" s="61"/>
      <c r="J21" s="61"/>
      <c r="K21" s="61"/>
      <c r="L21" s="65" t="s">
        <v>617</v>
      </c>
      <c r="M21" s="61" t="s">
        <v>618</v>
      </c>
      <c r="N21" s="61"/>
      <c r="O21" s="61"/>
      <c r="P21" s="61" t="s">
        <v>364</v>
      </c>
      <c r="Q21" s="61">
        <v>0</v>
      </c>
      <c r="R21" s="61"/>
      <c r="S21" s="61" t="s">
        <v>199</v>
      </c>
      <c r="T21" s="61">
        <v>1</v>
      </c>
      <c r="U21" s="61"/>
      <c r="V21" s="61" t="s">
        <v>200</v>
      </c>
      <c r="W21" s="61">
        <v>1</v>
      </c>
      <c r="X21" s="61"/>
      <c r="Y21" s="61" t="s">
        <v>354</v>
      </c>
      <c r="Z21" s="61">
        <v>0</v>
      </c>
      <c r="AA21" s="61"/>
      <c r="AB21" s="61" t="s">
        <v>290</v>
      </c>
      <c r="AC21" s="61"/>
      <c r="AD21" s="61">
        <v>1</v>
      </c>
      <c r="AE21" s="61" t="s">
        <v>203</v>
      </c>
      <c r="AF21" s="61"/>
      <c r="AG21" s="61">
        <v>1</v>
      </c>
      <c r="AH21" s="61" t="s">
        <v>263</v>
      </c>
      <c r="AI21" s="61"/>
      <c r="AJ21" s="61">
        <v>0</v>
      </c>
      <c r="AK21" s="61" t="s">
        <v>264</v>
      </c>
      <c r="AL21" s="61"/>
      <c r="AM21" s="61">
        <v>0</v>
      </c>
      <c r="AN21" s="61" t="s">
        <v>206</v>
      </c>
      <c r="AO21" s="61"/>
      <c r="AP21" s="61">
        <v>1</v>
      </c>
      <c r="AQ21" s="61" t="s">
        <v>207</v>
      </c>
      <c r="AR21" s="61"/>
      <c r="AS21" s="61">
        <v>1</v>
      </c>
      <c r="AT21" s="61" t="s">
        <v>208</v>
      </c>
      <c r="AU21" s="61"/>
      <c r="AV21" s="61">
        <v>1</v>
      </c>
      <c r="AW21" s="61" t="s">
        <v>305</v>
      </c>
      <c r="AX21" s="61"/>
      <c r="AY21" s="61">
        <v>0</v>
      </c>
      <c r="AZ21" s="61" t="s">
        <v>210</v>
      </c>
      <c r="BA21" s="61"/>
      <c r="BB21" s="61">
        <v>1</v>
      </c>
      <c r="BC21" s="61" t="s">
        <v>211</v>
      </c>
      <c r="BD21" s="61"/>
      <c r="BE21" s="61">
        <v>1</v>
      </c>
      <c r="BF21" s="61" t="s">
        <v>212</v>
      </c>
      <c r="BG21" s="61"/>
      <c r="BH21" s="61">
        <v>1</v>
      </c>
      <c r="BI21" s="61" t="s">
        <v>213</v>
      </c>
      <c r="BJ21" s="61"/>
      <c r="BK21" s="61">
        <v>1</v>
      </c>
      <c r="BL21" s="61" t="s">
        <v>214</v>
      </c>
      <c r="BM21" s="61"/>
      <c r="BN21" s="61">
        <v>1</v>
      </c>
      <c r="BO21" s="61" t="s">
        <v>215</v>
      </c>
      <c r="BP21" s="61"/>
      <c r="BQ21" s="61">
        <v>1</v>
      </c>
      <c r="BR21" s="61" t="s">
        <v>216</v>
      </c>
      <c r="BS21" s="61"/>
      <c r="BT21" s="61">
        <v>1</v>
      </c>
      <c r="BU21" s="61" t="s">
        <v>217</v>
      </c>
      <c r="BV21" s="61">
        <v>1</v>
      </c>
      <c r="BW21" s="61"/>
      <c r="BX21" s="61" t="s">
        <v>218</v>
      </c>
      <c r="BY21" s="61">
        <v>1</v>
      </c>
      <c r="BZ21" s="61"/>
      <c r="CA21" s="61" t="s">
        <v>295</v>
      </c>
      <c r="CB21" s="61">
        <v>0</v>
      </c>
      <c r="CC21" s="61"/>
      <c r="CD21" s="61" t="s">
        <v>271</v>
      </c>
      <c r="CE21" s="61">
        <v>1</v>
      </c>
      <c r="CF21" s="61"/>
      <c r="CG21" s="61" t="s">
        <v>221</v>
      </c>
      <c r="CH21" s="61">
        <v>1</v>
      </c>
      <c r="CI21" s="61"/>
      <c r="CJ21" s="61" t="s">
        <v>395</v>
      </c>
      <c r="CK21" s="61"/>
      <c r="CL21" s="61">
        <v>0</v>
      </c>
      <c r="CM21" s="61" t="s">
        <v>223</v>
      </c>
      <c r="CN21" s="61"/>
      <c r="CO21" s="61">
        <v>1</v>
      </c>
      <c r="CP21" s="61" t="s">
        <v>224</v>
      </c>
      <c r="CQ21" s="61"/>
      <c r="CR21" s="61">
        <v>1</v>
      </c>
      <c r="CS21" s="61" t="s">
        <v>225</v>
      </c>
      <c r="CT21" s="61"/>
      <c r="CU21" s="61">
        <v>1</v>
      </c>
      <c r="CV21" s="61" t="s">
        <v>226</v>
      </c>
      <c r="CW21" s="61"/>
      <c r="CX21" s="61">
        <v>1</v>
      </c>
      <c r="CY21" s="61" t="s">
        <v>227</v>
      </c>
      <c r="CZ21" s="61"/>
      <c r="DA21" s="61">
        <v>1</v>
      </c>
      <c r="DB21" s="61" t="s">
        <v>228</v>
      </c>
      <c r="DC21" s="61"/>
      <c r="DD21" s="61">
        <v>1</v>
      </c>
      <c r="DE21" s="61" t="s">
        <v>273</v>
      </c>
      <c r="DF21" s="61"/>
      <c r="DG21" s="61">
        <v>0</v>
      </c>
      <c r="DH21" s="61" t="s">
        <v>230</v>
      </c>
      <c r="DI21" s="61"/>
      <c r="DJ21" s="61">
        <v>1</v>
      </c>
      <c r="DK21" s="61" t="s">
        <v>231</v>
      </c>
      <c r="DL21" s="61"/>
      <c r="DM21" s="61">
        <v>1</v>
      </c>
      <c r="DN21" s="61"/>
      <c r="DO21" s="61"/>
      <c r="DP21" s="61">
        <v>0</v>
      </c>
      <c r="DQ21" s="61"/>
      <c r="DR21" s="61"/>
      <c r="DS21" s="61">
        <v>0</v>
      </c>
      <c r="DT21" s="61"/>
      <c r="DU21" s="61"/>
      <c r="DV21" s="61">
        <v>0</v>
      </c>
      <c r="DW21" s="61"/>
      <c r="DX21" s="61"/>
      <c r="DY21" s="61">
        <v>0</v>
      </c>
      <c r="DZ21" s="61"/>
      <c r="EA21" s="61"/>
      <c r="EB21" s="61">
        <v>0</v>
      </c>
      <c r="EC21" s="61"/>
      <c r="ED21" s="61"/>
      <c r="EE21" s="61">
        <v>0</v>
      </c>
      <c r="EF21" s="61"/>
      <c r="EG21" s="61"/>
      <c r="EH21" s="61">
        <v>0</v>
      </c>
      <c r="EI21" s="61"/>
      <c r="EJ21" s="61"/>
      <c r="EK21" s="61">
        <v>0</v>
      </c>
      <c r="EL21" s="61"/>
      <c r="EM21" s="61"/>
      <c r="EN21" s="61">
        <v>0</v>
      </c>
      <c r="EO21" s="61"/>
      <c r="EP21" s="61"/>
      <c r="EQ21" s="61">
        <v>0</v>
      </c>
      <c r="ER21" s="61"/>
      <c r="ES21" s="61"/>
      <c r="ET21" s="61">
        <v>0</v>
      </c>
      <c r="EU21" s="61"/>
      <c r="EV21" s="61"/>
      <c r="EW21" s="61">
        <v>0</v>
      </c>
      <c r="EX21" s="61"/>
      <c r="EY21" s="61"/>
      <c r="EZ21" s="61">
        <v>0</v>
      </c>
      <c r="FA21" s="61"/>
      <c r="FB21" s="61"/>
      <c r="FC21" s="61">
        <v>0</v>
      </c>
      <c r="FD21" s="61"/>
      <c r="FE21" s="61"/>
      <c r="FF21" s="61">
        <v>0</v>
      </c>
      <c r="FG21" s="61"/>
      <c r="FH21" s="61"/>
      <c r="FI21" s="61">
        <v>0</v>
      </c>
      <c r="FJ21" s="61"/>
      <c r="FK21" s="61"/>
      <c r="FL21" s="61">
        <v>0</v>
      </c>
      <c r="FM21" s="61"/>
      <c r="FN21" s="61"/>
      <c r="FO21" s="61">
        <v>0</v>
      </c>
      <c r="FP21" s="61"/>
      <c r="FQ21" s="61"/>
      <c r="FR21" s="61">
        <v>0</v>
      </c>
      <c r="FS21" s="61"/>
      <c r="FT21" s="61"/>
      <c r="FU21" s="61">
        <v>0</v>
      </c>
      <c r="FV21" s="61"/>
      <c r="FW21" s="61"/>
      <c r="FX21" s="61">
        <v>0</v>
      </c>
      <c r="FY21" s="61"/>
      <c r="FZ21" s="61"/>
      <c r="GA21" s="61">
        <v>0</v>
      </c>
      <c r="GB21" s="61"/>
      <c r="GC21" s="61"/>
      <c r="GD21" s="61">
        <v>0</v>
      </c>
      <c r="GE21" s="61"/>
      <c r="GF21" s="61"/>
      <c r="GG21" s="61">
        <v>0</v>
      </c>
      <c r="GH21" s="61"/>
      <c r="GI21" s="61"/>
      <c r="GJ21" s="61">
        <v>0</v>
      </c>
      <c r="GK21" s="61"/>
      <c r="GL21" s="61"/>
      <c r="GM21" s="61">
        <v>0</v>
      </c>
    </row>
    <row r="22" spans="1:195">
      <c r="A22" s="62">
        <v>21</v>
      </c>
      <c r="B22" s="61" t="s">
        <v>396</v>
      </c>
      <c r="C22" s="61" t="s">
        <v>397</v>
      </c>
      <c r="D22" s="61" t="s">
        <v>197</v>
      </c>
      <c r="E22" s="61"/>
      <c r="F22" s="61">
        <v>33</v>
      </c>
      <c r="G22" s="61"/>
      <c r="H22" s="61"/>
      <c r="I22" s="61"/>
      <c r="J22" s="61"/>
      <c r="K22" s="61"/>
      <c r="L22" s="65" t="s">
        <v>619</v>
      </c>
      <c r="M22" s="61" t="s">
        <v>620</v>
      </c>
      <c r="N22" s="61"/>
      <c r="O22" s="61"/>
      <c r="P22" s="61" t="s">
        <v>198</v>
      </c>
      <c r="Q22" s="61">
        <v>0</v>
      </c>
      <c r="R22" s="61"/>
      <c r="S22" s="61" t="s">
        <v>199</v>
      </c>
      <c r="T22" s="61">
        <v>1</v>
      </c>
      <c r="U22" s="61"/>
      <c r="V22" s="61" t="s">
        <v>398</v>
      </c>
      <c r="W22" s="61">
        <v>0</v>
      </c>
      <c r="X22" s="61"/>
      <c r="Y22" s="61" t="s">
        <v>354</v>
      </c>
      <c r="Z22" s="61">
        <v>0</v>
      </c>
      <c r="AA22" s="61"/>
      <c r="AB22" s="61" t="s">
        <v>202</v>
      </c>
      <c r="AC22" s="61"/>
      <c r="AD22" s="61">
        <v>0</v>
      </c>
      <c r="AE22" s="61" t="s">
        <v>203</v>
      </c>
      <c r="AF22" s="61"/>
      <c r="AG22" s="61">
        <v>1</v>
      </c>
      <c r="AH22" s="61" t="s">
        <v>263</v>
      </c>
      <c r="AI22" s="61"/>
      <c r="AJ22" s="61">
        <v>0</v>
      </c>
      <c r="AK22" s="61" t="s">
        <v>205</v>
      </c>
      <c r="AL22" s="61"/>
      <c r="AM22" s="61">
        <v>1</v>
      </c>
      <c r="AN22" s="61" t="s">
        <v>291</v>
      </c>
      <c r="AO22" s="61"/>
      <c r="AP22" s="61">
        <v>0</v>
      </c>
      <c r="AQ22" s="61" t="s">
        <v>207</v>
      </c>
      <c r="AR22" s="61"/>
      <c r="AS22" s="61">
        <v>1</v>
      </c>
      <c r="AT22" s="61" t="s">
        <v>208</v>
      </c>
      <c r="AU22" s="61"/>
      <c r="AV22" s="61">
        <v>1</v>
      </c>
      <c r="AW22" s="61" t="s">
        <v>293</v>
      </c>
      <c r="AX22" s="61"/>
      <c r="AY22" s="61">
        <v>0</v>
      </c>
      <c r="AZ22" s="61" t="s">
        <v>210</v>
      </c>
      <c r="BA22" s="61"/>
      <c r="BB22" s="61">
        <v>1</v>
      </c>
      <c r="BC22" s="61" t="s">
        <v>211</v>
      </c>
      <c r="BD22" s="61"/>
      <c r="BE22" s="61">
        <v>1</v>
      </c>
      <c r="BF22" s="61" t="s">
        <v>399</v>
      </c>
      <c r="BG22" s="61"/>
      <c r="BH22" s="61">
        <v>0</v>
      </c>
      <c r="BI22" s="61" t="s">
        <v>213</v>
      </c>
      <c r="BJ22" s="61"/>
      <c r="BK22" s="61">
        <v>1</v>
      </c>
      <c r="BL22" s="61" t="s">
        <v>214</v>
      </c>
      <c r="BM22" s="61"/>
      <c r="BN22" s="61">
        <v>1</v>
      </c>
      <c r="BO22" s="61" t="s">
        <v>392</v>
      </c>
      <c r="BP22" s="61"/>
      <c r="BQ22" s="61">
        <v>0</v>
      </c>
      <c r="BR22" s="61" t="s">
        <v>216</v>
      </c>
      <c r="BS22" s="61"/>
      <c r="BT22" s="61">
        <v>1</v>
      </c>
      <c r="BU22" s="61" t="s">
        <v>217</v>
      </c>
      <c r="BV22" s="61">
        <v>1</v>
      </c>
      <c r="BW22" s="61"/>
      <c r="BX22" s="61" t="s">
        <v>218</v>
      </c>
      <c r="BY22" s="61">
        <v>1</v>
      </c>
      <c r="BZ22" s="61"/>
      <c r="CA22" s="61" t="s">
        <v>219</v>
      </c>
      <c r="CB22" s="61">
        <v>1</v>
      </c>
      <c r="CC22" s="61"/>
      <c r="CD22" s="61" t="s">
        <v>271</v>
      </c>
      <c r="CE22" s="61">
        <v>1</v>
      </c>
      <c r="CF22" s="61"/>
      <c r="CG22" s="61" t="s">
        <v>221</v>
      </c>
      <c r="CH22" s="61">
        <v>1</v>
      </c>
      <c r="CI22" s="61"/>
      <c r="CJ22" s="61" t="s">
        <v>222</v>
      </c>
      <c r="CK22" s="61"/>
      <c r="CL22" s="61">
        <v>1</v>
      </c>
      <c r="CM22" s="61" t="s">
        <v>223</v>
      </c>
      <c r="CN22" s="61"/>
      <c r="CO22" s="61">
        <v>1</v>
      </c>
      <c r="CP22" s="61" t="s">
        <v>224</v>
      </c>
      <c r="CQ22" s="61"/>
      <c r="CR22" s="61">
        <v>1</v>
      </c>
      <c r="CS22" s="61" t="s">
        <v>225</v>
      </c>
      <c r="CT22" s="61"/>
      <c r="CU22" s="61">
        <v>1</v>
      </c>
      <c r="CV22" s="61" t="s">
        <v>226</v>
      </c>
      <c r="CW22" s="61"/>
      <c r="CX22" s="61">
        <v>1</v>
      </c>
      <c r="CY22" s="61" t="s">
        <v>227</v>
      </c>
      <c r="CZ22" s="61"/>
      <c r="DA22" s="61">
        <v>1</v>
      </c>
      <c r="DB22" s="61" t="s">
        <v>228</v>
      </c>
      <c r="DC22" s="61"/>
      <c r="DD22" s="61">
        <v>1</v>
      </c>
      <c r="DE22" s="61" t="s">
        <v>296</v>
      </c>
      <c r="DF22" s="61"/>
      <c r="DG22" s="61">
        <v>0</v>
      </c>
      <c r="DH22" s="61" t="s">
        <v>230</v>
      </c>
      <c r="DI22" s="61"/>
      <c r="DJ22" s="61">
        <v>1</v>
      </c>
      <c r="DK22" s="61" t="s">
        <v>231</v>
      </c>
      <c r="DL22" s="61"/>
      <c r="DM22" s="61">
        <v>1</v>
      </c>
      <c r="DN22" s="61" t="s">
        <v>232</v>
      </c>
      <c r="DO22" s="61"/>
      <c r="DP22" s="61">
        <v>1</v>
      </c>
      <c r="DQ22" s="61" t="s">
        <v>233</v>
      </c>
      <c r="DR22" s="61"/>
      <c r="DS22" s="61">
        <v>1</v>
      </c>
      <c r="DT22" s="61" t="s">
        <v>308</v>
      </c>
      <c r="DU22" s="61"/>
      <c r="DV22" s="61">
        <v>0</v>
      </c>
      <c r="DW22" s="61" t="s">
        <v>400</v>
      </c>
      <c r="DX22" s="61"/>
      <c r="DY22" s="61">
        <v>0</v>
      </c>
      <c r="DZ22" s="61" t="s">
        <v>275</v>
      </c>
      <c r="EA22" s="61"/>
      <c r="EB22" s="61">
        <v>0</v>
      </c>
      <c r="EC22" s="61" t="s">
        <v>297</v>
      </c>
      <c r="ED22" s="61"/>
      <c r="EE22" s="61">
        <v>0</v>
      </c>
      <c r="EF22" s="61" t="s">
        <v>238</v>
      </c>
      <c r="EG22" s="61"/>
      <c r="EH22" s="61">
        <v>1</v>
      </c>
      <c r="EI22" s="61" t="s">
        <v>239</v>
      </c>
      <c r="EJ22" s="61"/>
      <c r="EK22" s="61">
        <v>1</v>
      </c>
      <c r="EL22" s="61" t="s">
        <v>348</v>
      </c>
      <c r="EM22" s="61"/>
      <c r="EN22" s="61">
        <v>0</v>
      </c>
      <c r="EO22" s="61" t="s">
        <v>360</v>
      </c>
      <c r="EP22" s="61"/>
      <c r="EQ22" s="61">
        <v>0</v>
      </c>
      <c r="ER22" s="61" t="s">
        <v>242</v>
      </c>
      <c r="ES22" s="61"/>
      <c r="ET22" s="61">
        <v>1</v>
      </c>
      <c r="EU22" s="61" t="s">
        <v>243</v>
      </c>
      <c r="EV22" s="61"/>
      <c r="EW22" s="61">
        <v>1</v>
      </c>
      <c r="EX22" s="61" t="s">
        <v>340</v>
      </c>
      <c r="EY22" s="61"/>
      <c r="EZ22" s="61">
        <v>0</v>
      </c>
      <c r="FA22" s="61" t="s">
        <v>245</v>
      </c>
      <c r="FB22" s="61"/>
      <c r="FC22" s="61">
        <v>1</v>
      </c>
      <c r="FD22" s="61" t="s">
        <v>246</v>
      </c>
      <c r="FE22" s="61"/>
      <c r="FF22" s="61">
        <v>1</v>
      </c>
      <c r="FG22" s="61" t="s">
        <v>247</v>
      </c>
      <c r="FH22" s="61"/>
      <c r="FI22" s="61">
        <v>1</v>
      </c>
      <c r="FJ22" s="61"/>
      <c r="FK22" s="61"/>
      <c r="FL22" s="61">
        <v>0</v>
      </c>
      <c r="FM22" s="61"/>
      <c r="FN22" s="61"/>
      <c r="FO22" s="61">
        <v>0</v>
      </c>
      <c r="FP22" s="61"/>
      <c r="FQ22" s="61"/>
      <c r="FR22" s="61">
        <v>0</v>
      </c>
      <c r="FS22" s="61"/>
      <c r="FT22" s="61"/>
      <c r="FU22" s="61">
        <v>0</v>
      </c>
      <c r="FV22" s="61"/>
      <c r="FW22" s="61"/>
      <c r="FX22" s="61">
        <v>0</v>
      </c>
      <c r="FY22" s="61"/>
      <c r="FZ22" s="61"/>
      <c r="GA22" s="61">
        <v>0</v>
      </c>
      <c r="GB22" s="61"/>
      <c r="GC22" s="61"/>
      <c r="GD22" s="61">
        <v>0</v>
      </c>
      <c r="GE22" s="61"/>
      <c r="GF22" s="61"/>
      <c r="GG22" s="61">
        <v>0</v>
      </c>
      <c r="GH22" s="61"/>
      <c r="GI22" s="61"/>
      <c r="GJ22" s="61">
        <v>0</v>
      </c>
      <c r="GK22" s="61"/>
      <c r="GL22" s="61"/>
      <c r="GM22" s="61">
        <v>0</v>
      </c>
    </row>
    <row r="23" spans="1:195">
      <c r="A23" s="62">
        <v>22</v>
      </c>
      <c r="B23" s="61" t="s">
        <v>401</v>
      </c>
      <c r="C23" s="61" t="s">
        <v>402</v>
      </c>
      <c r="D23" s="61" t="s">
        <v>197</v>
      </c>
      <c r="E23" s="61"/>
      <c r="F23" s="61">
        <v>23</v>
      </c>
      <c r="G23" s="61"/>
      <c r="H23" s="61"/>
      <c r="I23" s="61"/>
      <c r="J23" s="61"/>
      <c r="K23" s="61"/>
      <c r="L23" s="65" t="s">
        <v>621</v>
      </c>
      <c r="M23" s="61" t="s">
        <v>622</v>
      </c>
      <c r="N23" s="61"/>
      <c r="O23" s="61"/>
      <c r="P23" s="61" t="s">
        <v>364</v>
      </c>
      <c r="Q23" s="61">
        <v>0</v>
      </c>
      <c r="R23" s="61"/>
      <c r="S23" s="61" t="s">
        <v>403</v>
      </c>
      <c r="T23" s="61">
        <v>0</v>
      </c>
      <c r="U23" s="61"/>
      <c r="V23" s="61" t="s">
        <v>200</v>
      </c>
      <c r="W23" s="61">
        <v>1</v>
      </c>
      <c r="X23" s="61"/>
      <c r="Y23" s="61" t="s">
        <v>354</v>
      </c>
      <c r="Z23" s="61">
        <v>0</v>
      </c>
      <c r="AA23" s="61"/>
      <c r="AB23" s="61" t="s">
        <v>336</v>
      </c>
      <c r="AC23" s="61"/>
      <c r="AD23" s="61">
        <v>0</v>
      </c>
      <c r="AE23" s="61" t="s">
        <v>203</v>
      </c>
      <c r="AF23" s="61"/>
      <c r="AG23" s="61">
        <v>1</v>
      </c>
      <c r="AH23" s="61" t="s">
        <v>204</v>
      </c>
      <c r="AI23" s="61"/>
      <c r="AJ23" s="61">
        <v>1</v>
      </c>
      <c r="AK23" s="61" t="s">
        <v>205</v>
      </c>
      <c r="AL23" s="61"/>
      <c r="AM23" s="61">
        <v>1</v>
      </c>
      <c r="AN23" s="61" t="s">
        <v>206</v>
      </c>
      <c r="AO23" s="61"/>
      <c r="AP23" s="61">
        <v>1</v>
      </c>
      <c r="AQ23" s="61" t="s">
        <v>207</v>
      </c>
      <c r="AR23" s="61"/>
      <c r="AS23" s="61">
        <v>1</v>
      </c>
      <c r="AT23" s="61" t="s">
        <v>292</v>
      </c>
      <c r="AU23" s="61"/>
      <c r="AV23" s="61">
        <v>0</v>
      </c>
      <c r="AW23" s="61" t="s">
        <v>354</v>
      </c>
      <c r="AX23" s="61"/>
      <c r="AY23" s="61">
        <v>0</v>
      </c>
      <c r="AZ23" s="61" t="s">
        <v>404</v>
      </c>
      <c r="BA23" s="61"/>
      <c r="BB23" s="61">
        <v>0</v>
      </c>
      <c r="BC23" s="61" t="s">
        <v>211</v>
      </c>
      <c r="BD23" s="61"/>
      <c r="BE23" s="61">
        <v>1</v>
      </c>
      <c r="BF23" s="61" t="s">
        <v>212</v>
      </c>
      <c r="BG23" s="61"/>
      <c r="BH23" s="61">
        <v>1</v>
      </c>
      <c r="BI23" s="61" t="s">
        <v>213</v>
      </c>
      <c r="BJ23" s="61"/>
      <c r="BK23" s="61">
        <v>1</v>
      </c>
      <c r="BL23" s="61" t="s">
        <v>214</v>
      </c>
      <c r="BM23" s="61"/>
      <c r="BN23" s="61">
        <v>1</v>
      </c>
      <c r="BO23" s="61" t="s">
        <v>215</v>
      </c>
      <c r="BP23" s="61"/>
      <c r="BQ23" s="61">
        <v>1</v>
      </c>
      <c r="BR23" s="61" t="s">
        <v>354</v>
      </c>
      <c r="BS23" s="61"/>
      <c r="BT23" s="61">
        <v>0</v>
      </c>
      <c r="BU23" s="61" t="s">
        <v>354</v>
      </c>
      <c r="BV23" s="61">
        <v>0</v>
      </c>
      <c r="BW23" s="61"/>
      <c r="BX23" s="61" t="s">
        <v>405</v>
      </c>
      <c r="BY23" s="61">
        <v>0</v>
      </c>
      <c r="BZ23" s="61"/>
      <c r="CA23" s="61" t="s">
        <v>295</v>
      </c>
      <c r="CB23" s="61">
        <v>0</v>
      </c>
      <c r="CC23" s="61"/>
      <c r="CD23" s="61" t="s">
        <v>271</v>
      </c>
      <c r="CE23" s="61">
        <v>1</v>
      </c>
      <c r="CF23" s="61"/>
      <c r="CG23" s="61" t="s">
        <v>221</v>
      </c>
      <c r="CH23" s="61">
        <v>1</v>
      </c>
      <c r="CI23" s="61"/>
      <c r="CJ23" s="61" t="s">
        <v>222</v>
      </c>
      <c r="CK23" s="61"/>
      <c r="CL23" s="61">
        <v>1</v>
      </c>
      <c r="CM23" s="61" t="s">
        <v>406</v>
      </c>
      <c r="CN23" s="61"/>
      <c r="CO23" s="61">
        <v>0</v>
      </c>
      <c r="CP23" s="61" t="s">
        <v>224</v>
      </c>
      <c r="CQ23" s="61"/>
      <c r="CR23" s="61">
        <v>1</v>
      </c>
      <c r="CS23" s="61" t="s">
        <v>225</v>
      </c>
      <c r="CT23" s="61"/>
      <c r="CU23" s="61">
        <v>1</v>
      </c>
      <c r="CV23" s="61" t="s">
        <v>226</v>
      </c>
      <c r="CW23" s="61"/>
      <c r="CX23" s="61">
        <v>1</v>
      </c>
      <c r="CY23" s="61" t="s">
        <v>227</v>
      </c>
      <c r="CZ23" s="61"/>
      <c r="DA23" s="61">
        <v>1</v>
      </c>
      <c r="DB23" s="61" t="s">
        <v>228</v>
      </c>
      <c r="DC23" s="61"/>
      <c r="DD23" s="61">
        <v>1</v>
      </c>
      <c r="DE23" s="61" t="s">
        <v>229</v>
      </c>
      <c r="DF23" s="61"/>
      <c r="DG23" s="61">
        <v>1</v>
      </c>
      <c r="DH23" s="61" t="s">
        <v>230</v>
      </c>
      <c r="DI23" s="61"/>
      <c r="DJ23" s="61">
        <v>1</v>
      </c>
      <c r="DK23" s="61" t="s">
        <v>231</v>
      </c>
      <c r="DL23" s="61"/>
      <c r="DM23" s="61">
        <v>1</v>
      </c>
      <c r="DN23" s="61" t="s">
        <v>232</v>
      </c>
      <c r="DO23" s="61"/>
      <c r="DP23" s="61">
        <v>1</v>
      </c>
      <c r="DQ23" s="61"/>
      <c r="DR23" s="61"/>
      <c r="DS23" s="61">
        <v>0</v>
      </c>
      <c r="DT23" s="61"/>
      <c r="DU23" s="61"/>
      <c r="DV23" s="61">
        <v>0</v>
      </c>
      <c r="DW23" s="61"/>
      <c r="DX23" s="61"/>
      <c r="DY23" s="61">
        <v>0</v>
      </c>
      <c r="DZ23" s="61"/>
      <c r="EA23" s="61"/>
      <c r="EB23" s="61">
        <v>0</v>
      </c>
      <c r="EC23" s="61"/>
      <c r="ED23" s="61"/>
      <c r="EE23" s="61">
        <v>0</v>
      </c>
      <c r="EF23" s="61"/>
      <c r="EG23" s="61"/>
      <c r="EH23" s="61">
        <v>0</v>
      </c>
      <c r="EI23" s="61"/>
      <c r="EJ23" s="61"/>
      <c r="EK23" s="61">
        <v>0</v>
      </c>
      <c r="EL23" s="61"/>
      <c r="EM23" s="61"/>
      <c r="EN23" s="61">
        <v>0</v>
      </c>
      <c r="EO23" s="61"/>
      <c r="EP23" s="61"/>
      <c r="EQ23" s="61">
        <v>0</v>
      </c>
      <c r="ER23" s="61"/>
      <c r="ES23" s="61"/>
      <c r="ET23" s="61">
        <v>0</v>
      </c>
      <c r="EU23" s="61"/>
      <c r="EV23" s="61"/>
      <c r="EW23" s="61">
        <v>0</v>
      </c>
      <c r="EX23" s="61"/>
      <c r="EY23" s="61"/>
      <c r="EZ23" s="61">
        <v>0</v>
      </c>
      <c r="FA23" s="61"/>
      <c r="FB23" s="61"/>
      <c r="FC23" s="61">
        <v>0</v>
      </c>
      <c r="FD23" s="61"/>
      <c r="FE23" s="61"/>
      <c r="FF23" s="61">
        <v>0</v>
      </c>
      <c r="FG23" s="61"/>
      <c r="FH23" s="61"/>
      <c r="FI23" s="61">
        <v>0</v>
      </c>
      <c r="FJ23" s="61"/>
      <c r="FK23" s="61"/>
      <c r="FL23" s="61">
        <v>0</v>
      </c>
      <c r="FM23" s="61"/>
      <c r="FN23" s="61"/>
      <c r="FO23" s="61">
        <v>0</v>
      </c>
      <c r="FP23" s="61"/>
      <c r="FQ23" s="61"/>
      <c r="FR23" s="61">
        <v>0</v>
      </c>
      <c r="FS23" s="61"/>
      <c r="FT23" s="61"/>
      <c r="FU23" s="61">
        <v>0</v>
      </c>
      <c r="FV23" s="61"/>
      <c r="FW23" s="61"/>
      <c r="FX23" s="61">
        <v>0</v>
      </c>
      <c r="FY23" s="61"/>
      <c r="FZ23" s="61"/>
      <c r="GA23" s="61">
        <v>0</v>
      </c>
      <c r="GB23" s="61"/>
      <c r="GC23" s="61"/>
      <c r="GD23" s="61">
        <v>0</v>
      </c>
      <c r="GE23" s="61"/>
      <c r="GF23" s="61"/>
      <c r="GG23" s="61">
        <v>0</v>
      </c>
      <c r="GH23" s="61"/>
      <c r="GI23" s="61"/>
      <c r="GJ23" s="61">
        <v>0</v>
      </c>
      <c r="GK23" s="61"/>
      <c r="GL23" s="61"/>
      <c r="GM23" s="61">
        <v>0</v>
      </c>
    </row>
    <row r="24" spans="1:195">
      <c r="A24" s="62">
        <v>23</v>
      </c>
      <c r="B24" s="61" t="s">
        <v>407</v>
      </c>
      <c r="C24" s="61" t="s">
        <v>408</v>
      </c>
      <c r="D24" s="61" t="s">
        <v>197</v>
      </c>
      <c r="E24" s="61"/>
      <c r="F24" s="61">
        <v>24</v>
      </c>
      <c r="G24" s="61"/>
      <c r="H24" s="61"/>
      <c r="I24" s="61"/>
      <c r="J24" s="61"/>
      <c r="K24" s="61"/>
      <c r="L24" s="65" t="s">
        <v>623</v>
      </c>
      <c r="M24" s="61" t="s">
        <v>624</v>
      </c>
      <c r="N24" s="61"/>
      <c r="O24" s="61"/>
      <c r="P24" s="61" t="s">
        <v>260</v>
      </c>
      <c r="Q24" s="61">
        <v>1</v>
      </c>
      <c r="R24" s="61"/>
      <c r="S24" s="61" t="s">
        <v>199</v>
      </c>
      <c r="T24" s="61">
        <v>1</v>
      </c>
      <c r="U24" s="61"/>
      <c r="V24" s="61" t="s">
        <v>200</v>
      </c>
      <c r="W24" s="61">
        <v>1</v>
      </c>
      <c r="X24" s="61"/>
      <c r="Y24" s="61" t="s">
        <v>261</v>
      </c>
      <c r="Z24" s="61">
        <v>1</v>
      </c>
      <c r="AA24" s="61"/>
      <c r="AB24" s="61" t="s">
        <v>290</v>
      </c>
      <c r="AC24" s="61"/>
      <c r="AD24" s="61">
        <v>1</v>
      </c>
      <c r="AE24" s="61" t="s">
        <v>203</v>
      </c>
      <c r="AF24" s="61"/>
      <c r="AG24" s="61">
        <v>1</v>
      </c>
      <c r="AH24" s="61" t="s">
        <v>263</v>
      </c>
      <c r="AI24" s="61"/>
      <c r="AJ24" s="61">
        <v>0</v>
      </c>
      <c r="AK24" s="61" t="s">
        <v>409</v>
      </c>
      <c r="AL24" s="61"/>
      <c r="AM24" s="61">
        <v>0</v>
      </c>
      <c r="AN24" s="61" t="s">
        <v>291</v>
      </c>
      <c r="AO24" s="61"/>
      <c r="AP24" s="61">
        <v>0</v>
      </c>
      <c r="AQ24" s="61" t="s">
        <v>207</v>
      </c>
      <c r="AR24" s="61"/>
      <c r="AS24" s="61">
        <v>1</v>
      </c>
      <c r="AT24" s="61" t="s">
        <v>292</v>
      </c>
      <c r="AU24" s="61"/>
      <c r="AV24" s="61">
        <v>0</v>
      </c>
      <c r="AW24" s="61" t="s">
        <v>354</v>
      </c>
      <c r="AX24" s="61"/>
      <c r="AY24" s="61">
        <v>0</v>
      </c>
      <c r="AZ24" s="61" t="s">
        <v>210</v>
      </c>
      <c r="BA24" s="61"/>
      <c r="BB24" s="61">
        <v>1</v>
      </c>
      <c r="BC24" s="61" t="s">
        <v>211</v>
      </c>
      <c r="BD24" s="61"/>
      <c r="BE24" s="61">
        <v>1</v>
      </c>
      <c r="BF24" s="61" t="s">
        <v>354</v>
      </c>
      <c r="BG24" s="61"/>
      <c r="BH24" s="61">
        <v>0</v>
      </c>
      <c r="BI24" s="61" t="s">
        <v>354</v>
      </c>
      <c r="BJ24" s="61"/>
      <c r="BK24" s="61">
        <v>0</v>
      </c>
      <c r="BL24" s="61" t="s">
        <v>214</v>
      </c>
      <c r="BM24" s="61"/>
      <c r="BN24" s="61">
        <v>1</v>
      </c>
      <c r="BO24" s="61" t="s">
        <v>215</v>
      </c>
      <c r="BP24" s="61"/>
      <c r="BQ24" s="61">
        <v>1</v>
      </c>
      <c r="BR24" s="61" t="s">
        <v>216</v>
      </c>
      <c r="BS24" s="61"/>
      <c r="BT24" s="61">
        <v>1</v>
      </c>
      <c r="BU24" s="61" t="s">
        <v>345</v>
      </c>
      <c r="BV24" s="61">
        <v>0</v>
      </c>
      <c r="BW24" s="61"/>
      <c r="BX24" s="61" t="s">
        <v>405</v>
      </c>
      <c r="BY24" s="61">
        <v>0</v>
      </c>
      <c r="BZ24" s="61"/>
      <c r="CA24" s="61" t="s">
        <v>295</v>
      </c>
      <c r="CB24" s="61">
        <v>0</v>
      </c>
      <c r="CC24" s="61"/>
      <c r="CD24" s="61" t="s">
        <v>220</v>
      </c>
      <c r="CE24" s="61">
        <v>0</v>
      </c>
      <c r="CF24" s="61"/>
      <c r="CG24" s="61" t="s">
        <v>221</v>
      </c>
      <c r="CH24" s="61">
        <v>1</v>
      </c>
      <c r="CI24" s="61"/>
      <c r="CJ24" s="61" t="s">
        <v>222</v>
      </c>
      <c r="CK24" s="61"/>
      <c r="CL24" s="61">
        <v>1</v>
      </c>
      <c r="CM24" s="61" t="s">
        <v>406</v>
      </c>
      <c r="CN24" s="61"/>
      <c r="CO24" s="61">
        <v>0</v>
      </c>
      <c r="CP24" s="61" t="s">
        <v>224</v>
      </c>
      <c r="CQ24" s="61"/>
      <c r="CR24" s="61">
        <v>1</v>
      </c>
      <c r="CS24" s="61" t="s">
        <v>225</v>
      </c>
      <c r="CT24" s="61"/>
      <c r="CU24" s="61">
        <v>1</v>
      </c>
      <c r="CV24" s="61" t="s">
        <v>226</v>
      </c>
      <c r="CW24" s="61"/>
      <c r="CX24" s="61">
        <v>1</v>
      </c>
      <c r="CY24" s="61" t="s">
        <v>227</v>
      </c>
      <c r="CZ24" s="61"/>
      <c r="DA24" s="61">
        <v>1</v>
      </c>
      <c r="DB24" s="61" t="s">
        <v>228</v>
      </c>
      <c r="DC24" s="61"/>
      <c r="DD24" s="61">
        <v>1</v>
      </c>
      <c r="DE24" s="61" t="s">
        <v>229</v>
      </c>
      <c r="DF24" s="61"/>
      <c r="DG24" s="61">
        <v>1</v>
      </c>
      <c r="DH24" s="61" t="s">
        <v>230</v>
      </c>
      <c r="DI24" s="61"/>
      <c r="DJ24" s="61">
        <v>1</v>
      </c>
      <c r="DK24" s="61" t="s">
        <v>231</v>
      </c>
      <c r="DL24" s="61"/>
      <c r="DM24" s="61">
        <v>1</v>
      </c>
      <c r="DN24" s="61" t="s">
        <v>232</v>
      </c>
      <c r="DO24" s="61"/>
      <c r="DP24" s="61">
        <v>1</v>
      </c>
      <c r="DQ24" s="61" t="s">
        <v>233</v>
      </c>
      <c r="DR24" s="61"/>
      <c r="DS24" s="61">
        <v>1</v>
      </c>
      <c r="DT24" s="61"/>
      <c r="DU24" s="61"/>
      <c r="DV24" s="61">
        <v>0</v>
      </c>
      <c r="DW24" s="61"/>
      <c r="DX24" s="61"/>
      <c r="DY24" s="61">
        <v>0</v>
      </c>
      <c r="DZ24" s="61"/>
      <c r="EA24" s="61"/>
      <c r="EB24" s="61">
        <v>0</v>
      </c>
      <c r="EC24" s="61"/>
      <c r="ED24" s="61"/>
      <c r="EE24" s="61">
        <v>0</v>
      </c>
      <c r="EF24" s="61"/>
      <c r="EG24" s="61"/>
      <c r="EH24" s="61">
        <v>0</v>
      </c>
      <c r="EI24" s="61"/>
      <c r="EJ24" s="61"/>
      <c r="EK24" s="61">
        <v>0</v>
      </c>
      <c r="EL24" s="61"/>
      <c r="EM24" s="61"/>
      <c r="EN24" s="61">
        <v>0</v>
      </c>
      <c r="EO24" s="61"/>
      <c r="EP24" s="61"/>
      <c r="EQ24" s="61">
        <v>0</v>
      </c>
      <c r="ER24" s="61"/>
      <c r="ES24" s="61"/>
      <c r="ET24" s="61">
        <v>0</v>
      </c>
      <c r="EU24" s="61"/>
      <c r="EV24" s="61"/>
      <c r="EW24" s="61">
        <v>0</v>
      </c>
      <c r="EX24" s="61"/>
      <c r="EY24" s="61"/>
      <c r="EZ24" s="61">
        <v>0</v>
      </c>
      <c r="FA24" s="61"/>
      <c r="FB24" s="61"/>
      <c r="FC24" s="61">
        <v>0</v>
      </c>
      <c r="FD24" s="61"/>
      <c r="FE24" s="61"/>
      <c r="FF24" s="61">
        <v>0</v>
      </c>
      <c r="FG24" s="61"/>
      <c r="FH24" s="61"/>
      <c r="FI24" s="61">
        <v>0</v>
      </c>
      <c r="FJ24" s="61"/>
      <c r="FK24" s="61"/>
      <c r="FL24" s="61">
        <v>0</v>
      </c>
      <c r="FM24" s="61"/>
      <c r="FN24" s="61"/>
      <c r="FO24" s="61">
        <v>0</v>
      </c>
      <c r="FP24" s="61"/>
      <c r="FQ24" s="61"/>
      <c r="FR24" s="61">
        <v>0</v>
      </c>
      <c r="FS24" s="61"/>
      <c r="FT24" s="61"/>
      <c r="FU24" s="61">
        <v>0</v>
      </c>
      <c r="FV24" s="61"/>
      <c r="FW24" s="61"/>
      <c r="FX24" s="61">
        <v>0</v>
      </c>
      <c r="FY24" s="61"/>
      <c r="FZ24" s="61"/>
      <c r="GA24" s="61">
        <v>0</v>
      </c>
      <c r="GB24" s="61"/>
      <c r="GC24" s="61"/>
      <c r="GD24" s="61">
        <v>0</v>
      </c>
      <c r="GE24" s="61"/>
      <c r="GF24" s="61"/>
      <c r="GG24" s="61">
        <v>0</v>
      </c>
      <c r="GH24" s="61"/>
      <c r="GI24" s="61"/>
      <c r="GJ24" s="61">
        <v>0</v>
      </c>
      <c r="GK24" s="61"/>
      <c r="GL24" s="61"/>
      <c r="GM24" s="61">
        <v>0</v>
      </c>
    </row>
    <row r="25" spans="1:195">
      <c r="A25" s="62">
        <v>24</v>
      </c>
      <c r="B25" s="61" t="s">
        <v>410</v>
      </c>
      <c r="C25" s="61" t="s">
        <v>411</v>
      </c>
      <c r="D25" s="61" t="s">
        <v>197</v>
      </c>
      <c r="E25" s="61"/>
      <c r="F25" s="61">
        <v>53</v>
      </c>
      <c r="G25" s="61"/>
      <c r="H25" s="61"/>
      <c r="I25" s="61"/>
      <c r="J25" s="61"/>
      <c r="K25" s="61"/>
      <c r="L25" s="65" t="s">
        <v>625</v>
      </c>
      <c r="M25" s="61" t="s">
        <v>626</v>
      </c>
      <c r="N25" s="61"/>
      <c r="O25" s="61"/>
      <c r="P25" s="61" t="s">
        <v>198</v>
      </c>
      <c r="Q25" s="61">
        <v>0</v>
      </c>
      <c r="R25" s="61"/>
      <c r="S25" s="61" t="s">
        <v>199</v>
      </c>
      <c r="T25" s="61">
        <v>1</v>
      </c>
      <c r="U25" s="61"/>
      <c r="V25" s="61" t="s">
        <v>200</v>
      </c>
      <c r="W25" s="61">
        <v>1</v>
      </c>
      <c r="X25" s="61"/>
      <c r="Y25" s="61" t="s">
        <v>261</v>
      </c>
      <c r="Z25" s="61">
        <v>1</v>
      </c>
      <c r="AA25" s="61"/>
      <c r="AB25" s="61" t="s">
        <v>202</v>
      </c>
      <c r="AC25" s="61"/>
      <c r="AD25" s="61">
        <v>0</v>
      </c>
      <c r="AE25" s="61" t="s">
        <v>203</v>
      </c>
      <c r="AF25" s="61"/>
      <c r="AG25" s="61">
        <v>1</v>
      </c>
      <c r="AH25" s="61" t="s">
        <v>204</v>
      </c>
      <c r="AI25" s="61"/>
      <c r="AJ25" s="61">
        <v>1</v>
      </c>
      <c r="AK25" s="61" t="s">
        <v>264</v>
      </c>
      <c r="AL25" s="61"/>
      <c r="AM25" s="61">
        <v>0</v>
      </c>
      <c r="AN25" s="61" t="s">
        <v>206</v>
      </c>
      <c r="AO25" s="61"/>
      <c r="AP25" s="61">
        <v>1</v>
      </c>
      <c r="AQ25" s="61" t="s">
        <v>207</v>
      </c>
      <c r="AR25" s="61"/>
      <c r="AS25" s="61">
        <v>1</v>
      </c>
      <c r="AT25" s="61" t="s">
        <v>208</v>
      </c>
      <c r="AU25" s="61"/>
      <c r="AV25" s="61">
        <v>1</v>
      </c>
      <c r="AW25" s="61" t="s">
        <v>293</v>
      </c>
      <c r="AX25" s="61"/>
      <c r="AY25" s="61">
        <v>0</v>
      </c>
      <c r="AZ25" s="61" t="s">
        <v>210</v>
      </c>
      <c r="BA25" s="61"/>
      <c r="BB25" s="61">
        <v>1</v>
      </c>
      <c r="BC25" s="61" t="s">
        <v>211</v>
      </c>
      <c r="BD25" s="61"/>
      <c r="BE25" s="61">
        <v>1</v>
      </c>
      <c r="BF25" s="61" t="s">
        <v>388</v>
      </c>
      <c r="BG25" s="61"/>
      <c r="BH25" s="61">
        <v>0</v>
      </c>
      <c r="BI25" s="61" t="s">
        <v>213</v>
      </c>
      <c r="BJ25" s="61"/>
      <c r="BK25" s="61">
        <v>1</v>
      </c>
      <c r="BL25" s="61" t="s">
        <v>214</v>
      </c>
      <c r="BM25" s="61"/>
      <c r="BN25" s="61">
        <v>1</v>
      </c>
      <c r="BO25" s="61" t="s">
        <v>215</v>
      </c>
      <c r="BP25" s="61"/>
      <c r="BQ25" s="61">
        <v>1</v>
      </c>
      <c r="BR25" s="61" t="s">
        <v>216</v>
      </c>
      <c r="BS25" s="61"/>
      <c r="BT25" s="61">
        <v>1</v>
      </c>
      <c r="BU25" s="61" t="s">
        <v>217</v>
      </c>
      <c r="BV25" s="61">
        <v>1</v>
      </c>
      <c r="BW25" s="61"/>
      <c r="BX25" s="61" t="s">
        <v>218</v>
      </c>
      <c r="BY25" s="61">
        <v>1</v>
      </c>
      <c r="BZ25" s="61"/>
      <c r="CA25" s="61" t="s">
        <v>219</v>
      </c>
      <c r="CB25" s="61">
        <v>1</v>
      </c>
      <c r="CC25" s="61"/>
      <c r="CD25" s="61" t="s">
        <v>271</v>
      </c>
      <c r="CE25" s="61">
        <v>1</v>
      </c>
      <c r="CF25" s="61"/>
      <c r="CG25" s="61" t="s">
        <v>221</v>
      </c>
      <c r="CH25" s="61">
        <v>1</v>
      </c>
      <c r="CI25" s="61"/>
      <c r="CJ25" s="61" t="s">
        <v>222</v>
      </c>
      <c r="CK25" s="61"/>
      <c r="CL25" s="61">
        <v>1</v>
      </c>
      <c r="CM25" s="61" t="s">
        <v>223</v>
      </c>
      <c r="CN25" s="61"/>
      <c r="CO25" s="61">
        <v>1</v>
      </c>
      <c r="CP25" s="61" t="s">
        <v>224</v>
      </c>
      <c r="CQ25" s="61"/>
      <c r="CR25" s="61">
        <v>1</v>
      </c>
      <c r="CS25" s="61" t="s">
        <v>225</v>
      </c>
      <c r="CT25" s="61"/>
      <c r="CU25" s="61">
        <v>1</v>
      </c>
      <c r="CV25" s="61" t="s">
        <v>226</v>
      </c>
      <c r="CW25" s="61"/>
      <c r="CX25" s="61">
        <v>1</v>
      </c>
      <c r="CY25" s="61" t="s">
        <v>227</v>
      </c>
      <c r="CZ25" s="61"/>
      <c r="DA25" s="61">
        <v>1</v>
      </c>
      <c r="DB25" s="61" t="s">
        <v>228</v>
      </c>
      <c r="DC25" s="61"/>
      <c r="DD25" s="61">
        <v>1</v>
      </c>
      <c r="DE25" s="61" t="s">
        <v>273</v>
      </c>
      <c r="DF25" s="61"/>
      <c r="DG25" s="61">
        <v>0</v>
      </c>
      <c r="DH25" s="61" t="s">
        <v>230</v>
      </c>
      <c r="DI25" s="61"/>
      <c r="DJ25" s="61">
        <v>1</v>
      </c>
      <c r="DK25" s="61" t="s">
        <v>231</v>
      </c>
      <c r="DL25" s="61"/>
      <c r="DM25" s="61">
        <v>1</v>
      </c>
      <c r="DN25" s="61" t="s">
        <v>232</v>
      </c>
      <c r="DO25" s="61"/>
      <c r="DP25" s="61">
        <v>1</v>
      </c>
      <c r="DQ25" s="61" t="s">
        <v>233</v>
      </c>
      <c r="DR25" s="61"/>
      <c r="DS25" s="61">
        <v>1</v>
      </c>
      <c r="DT25" s="61" t="s">
        <v>234</v>
      </c>
      <c r="DU25" s="61"/>
      <c r="DV25" s="61">
        <v>1</v>
      </c>
      <c r="DW25" s="61" t="s">
        <v>235</v>
      </c>
      <c r="DX25" s="61"/>
      <c r="DY25" s="61">
        <v>1</v>
      </c>
      <c r="DZ25" s="61" t="s">
        <v>236</v>
      </c>
      <c r="EA25" s="61"/>
      <c r="EB25" s="61">
        <v>1</v>
      </c>
      <c r="EC25" s="61" t="s">
        <v>237</v>
      </c>
      <c r="ED25" s="61"/>
      <c r="EE25" s="61">
        <v>1</v>
      </c>
      <c r="EF25" s="61" t="s">
        <v>238</v>
      </c>
      <c r="EG25" s="61"/>
      <c r="EH25" s="61">
        <v>1</v>
      </c>
      <c r="EI25" s="61" t="s">
        <v>239</v>
      </c>
      <c r="EJ25" s="61"/>
      <c r="EK25" s="61">
        <v>1</v>
      </c>
      <c r="EL25" s="61" t="s">
        <v>240</v>
      </c>
      <c r="EM25" s="61"/>
      <c r="EN25" s="61">
        <v>1</v>
      </c>
      <c r="EO25" s="61" t="s">
        <v>241</v>
      </c>
      <c r="EP25" s="61"/>
      <c r="EQ25" s="61">
        <v>1</v>
      </c>
      <c r="ER25" s="61" t="s">
        <v>242</v>
      </c>
      <c r="ES25" s="61"/>
      <c r="ET25" s="61">
        <v>1</v>
      </c>
      <c r="EU25" s="61" t="s">
        <v>243</v>
      </c>
      <c r="EV25" s="61"/>
      <c r="EW25" s="61">
        <v>1</v>
      </c>
      <c r="EX25" s="61" t="s">
        <v>244</v>
      </c>
      <c r="EY25" s="61"/>
      <c r="EZ25" s="61">
        <v>1</v>
      </c>
      <c r="FA25" s="61" t="s">
        <v>245</v>
      </c>
      <c r="FB25" s="61"/>
      <c r="FC25" s="61">
        <v>1</v>
      </c>
      <c r="FD25" s="61" t="s">
        <v>246</v>
      </c>
      <c r="FE25" s="61"/>
      <c r="FF25" s="61">
        <v>1</v>
      </c>
      <c r="FG25" s="61" t="s">
        <v>247</v>
      </c>
      <c r="FH25" s="61"/>
      <c r="FI25" s="61">
        <v>1</v>
      </c>
      <c r="FJ25" s="61" t="s">
        <v>248</v>
      </c>
      <c r="FK25" s="61"/>
      <c r="FL25" s="61">
        <v>0</v>
      </c>
      <c r="FM25" s="61" t="s">
        <v>249</v>
      </c>
      <c r="FN25" s="61"/>
      <c r="FO25" s="61">
        <v>1</v>
      </c>
      <c r="FP25" s="61" t="s">
        <v>250</v>
      </c>
      <c r="FQ25" s="61"/>
      <c r="FR25" s="61">
        <v>1</v>
      </c>
      <c r="FS25" s="61" t="s">
        <v>251</v>
      </c>
      <c r="FT25" s="61"/>
      <c r="FU25" s="61">
        <v>1</v>
      </c>
      <c r="FV25" s="61" t="s">
        <v>252</v>
      </c>
      <c r="FW25" s="61"/>
      <c r="FX25" s="61">
        <v>1</v>
      </c>
      <c r="FY25" s="61" t="s">
        <v>253</v>
      </c>
      <c r="FZ25" s="61"/>
      <c r="GA25" s="61">
        <v>1</v>
      </c>
      <c r="GB25" s="61" t="s">
        <v>254</v>
      </c>
      <c r="GC25" s="61"/>
      <c r="GD25" s="61">
        <v>1</v>
      </c>
      <c r="GE25" s="61" t="s">
        <v>255</v>
      </c>
      <c r="GF25" s="61"/>
      <c r="GG25" s="61">
        <v>1</v>
      </c>
      <c r="GH25" s="61" t="s">
        <v>256</v>
      </c>
      <c r="GI25" s="61"/>
      <c r="GJ25" s="61">
        <v>1</v>
      </c>
      <c r="GK25" s="61" t="s">
        <v>257</v>
      </c>
      <c r="GL25" s="61"/>
      <c r="GM25" s="61">
        <v>1</v>
      </c>
    </row>
    <row r="26" spans="1:195">
      <c r="A26" s="62">
        <v>25</v>
      </c>
      <c r="B26" s="61" t="s">
        <v>412</v>
      </c>
      <c r="C26" s="61" t="s">
        <v>413</v>
      </c>
      <c r="D26" s="61" t="s">
        <v>197</v>
      </c>
      <c r="E26" s="61"/>
      <c r="F26" s="61">
        <v>45</v>
      </c>
      <c r="G26" s="61"/>
      <c r="H26" s="61"/>
      <c r="I26" s="61"/>
      <c r="J26" s="61"/>
      <c r="K26" s="61"/>
      <c r="L26" s="65" t="s">
        <v>627</v>
      </c>
      <c r="M26" s="61" t="s">
        <v>628</v>
      </c>
      <c r="N26" s="61"/>
      <c r="O26" s="61"/>
      <c r="P26" s="61" t="s">
        <v>358</v>
      </c>
      <c r="Q26" s="61">
        <v>0</v>
      </c>
      <c r="R26" s="61"/>
      <c r="S26" s="61" t="s">
        <v>199</v>
      </c>
      <c r="T26" s="61">
        <v>1</v>
      </c>
      <c r="U26" s="61"/>
      <c r="V26" s="61" t="s">
        <v>200</v>
      </c>
      <c r="W26" s="61">
        <v>1</v>
      </c>
      <c r="X26" s="61"/>
      <c r="Y26" s="61" t="s">
        <v>201</v>
      </c>
      <c r="Z26" s="61">
        <v>0</v>
      </c>
      <c r="AA26" s="61"/>
      <c r="AB26" s="61" t="s">
        <v>202</v>
      </c>
      <c r="AC26" s="61"/>
      <c r="AD26" s="61">
        <v>0</v>
      </c>
      <c r="AE26" s="61" t="s">
        <v>203</v>
      </c>
      <c r="AF26" s="61"/>
      <c r="AG26" s="61">
        <v>1</v>
      </c>
      <c r="AH26" s="61" t="s">
        <v>204</v>
      </c>
      <c r="AI26" s="61"/>
      <c r="AJ26" s="61">
        <v>1</v>
      </c>
      <c r="AK26" s="61" t="s">
        <v>264</v>
      </c>
      <c r="AL26" s="61"/>
      <c r="AM26" s="61">
        <v>0</v>
      </c>
      <c r="AN26" s="61" t="s">
        <v>206</v>
      </c>
      <c r="AO26" s="61"/>
      <c r="AP26" s="61">
        <v>1</v>
      </c>
      <c r="AQ26" s="61" t="s">
        <v>207</v>
      </c>
      <c r="AR26" s="61"/>
      <c r="AS26" s="61">
        <v>1</v>
      </c>
      <c r="AT26" s="61" t="s">
        <v>338</v>
      </c>
      <c r="AU26" s="61"/>
      <c r="AV26" s="61">
        <v>0</v>
      </c>
      <c r="AW26" s="61" t="s">
        <v>209</v>
      </c>
      <c r="AX26" s="61"/>
      <c r="AY26" s="61">
        <v>1</v>
      </c>
      <c r="AZ26" s="61" t="s">
        <v>210</v>
      </c>
      <c r="BA26" s="61"/>
      <c r="BB26" s="61">
        <v>1</v>
      </c>
      <c r="BC26" s="61" t="s">
        <v>211</v>
      </c>
      <c r="BD26" s="61"/>
      <c r="BE26" s="61">
        <v>1</v>
      </c>
      <c r="BF26" s="61" t="s">
        <v>267</v>
      </c>
      <c r="BG26" s="61"/>
      <c r="BH26" s="61">
        <v>0</v>
      </c>
      <c r="BI26" s="61" t="s">
        <v>213</v>
      </c>
      <c r="BJ26" s="61"/>
      <c r="BK26" s="61">
        <v>1</v>
      </c>
      <c r="BL26" s="61" t="s">
        <v>214</v>
      </c>
      <c r="BM26" s="61"/>
      <c r="BN26" s="61">
        <v>1</v>
      </c>
      <c r="BO26" s="61" t="s">
        <v>215</v>
      </c>
      <c r="BP26" s="61"/>
      <c r="BQ26" s="61">
        <v>1</v>
      </c>
      <c r="BR26" s="61" t="s">
        <v>216</v>
      </c>
      <c r="BS26" s="61"/>
      <c r="BT26" s="61">
        <v>1</v>
      </c>
      <c r="BU26" s="61" t="s">
        <v>217</v>
      </c>
      <c r="BV26" s="61">
        <v>1</v>
      </c>
      <c r="BW26" s="61"/>
      <c r="BX26" s="61" t="s">
        <v>218</v>
      </c>
      <c r="BY26" s="61">
        <v>1</v>
      </c>
      <c r="BZ26" s="61"/>
      <c r="CA26" s="61" t="s">
        <v>219</v>
      </c>
      <c r="CB26" s="61">
        <v>1</v>
      </c>
      <c r="CC26" s="61"/>
      <c r="CD26" s="61" t="s">
        <v>220</v>
      </c>
      <c r="CE26" s="61">
        <v>0</v>
      </c>
      <c r="CF26" s="61"/>
      <c r="CG26" s="61" t="s">
        <v>221</v>
      </c>
      <c r="CH26" s="61">
        <v>1</v>
      </c>
      <c r="CI26" s="61"/>
      <c r="CJ26" s="61" t="s">
        <v>222</v>
      </c>
      <c r="CK26" s="61"/>
      <c r="CL26" s="61">
        <v>1</v>
      </c>
      <c r="CM26" s="61" t="s">
        <v>223</v>
      </c>
      <c r="CN26" s="61"/>
      <c r="CO26" s="61">
        <v>1</v>
      </c>
      <c r="CP26" s="61" t="s">
        <v>224</v>
      </c>
      <c r="CQ26" s="61"/>
      <c r="CR26" s="61">
        <v>1</v>
      </c>
      <c r="CS26" s="61" t="s">
        <v>225</v>
      </c>
      <c r="CT26" s="61"/>
      <c r="CU26" s="61">
        <v>1</v>
      </c>
      <c r="CV26" s="61" t="s">
        <v>226</v>
      </c>
      <c r="CW26" s="61"/>
      <c r="CX26" s="61">
        <v>1</v>
      </c>
      <c r="CY26" s="61" t="s">
        <v>227</v>
      </c>
      <c r="CZ26" s="61"/>
      <c r="DA26" s="61">
        <v>1</v>
      </c>
      <c r="DB26" s="61" t="s">
        <v>228</v>
      </c>
      <c r="DC26" s="61"/>
      <c r="DD26" s="61">
        <v>1</v>
      </c>
      <c r="DE26" s="61" t="s">
        <v>229</v>
      </c>
      <c r="DF26" s="61"/>
      <c r="DG26" s="61">
        <v>1</v>
      </c>
      <c r="DH26" s="61" t="s">
        <v>230</v>
      </c>
      <c r="DI26" s="61"/>
      <c r="DJ26" s="61">
        <v>1</v>
      </c>
      <c r="DK26" s="61" t="s">
        <v>231</v>
      </c>
      <c r="DL26" s="61"/>
      <c r="DM26" s="61">
        <v>1</v>
      </c>
      <c r="DN26" s="61" t="s">
        <v>232</v>
      </c>
      <c r="DO26" s="61"/>
      <c r="DP26" s="61">
        <v>1</v>
      </c>
      <c r="DQ26" s="61" t="s">
        <v>233</v>
      </c>
      <c r="DR26" s="61"/>
      <c r="DS26" s="61">
        <v>1</v>
      </c>
      <c r="DT26" s="61" t="s">
        <v>234</v>
      </c>
      <c r="DU26" s="61"/>
      <c r="DV26" s="61">
        <v>1</v>
      </c>
      <c r="DW26" s="61" t="s">
        <v>235</v>
      </c>
      <c r="DX26" s="61"/>
      <c r="DY26" s="61">
        <v>1</v>
      </c>
      <c r="DZ26" s="61" t="s">
        <v>328</v>
      </c>
      <c r="EA26" s="61"/>
      <c r="EB26" s="61">
        <v>0</v>
      </c>
      <c r="EC26" s="61" t="s">
        <v>237</v>
      </c>
      <c r="ED26" s="61"/>
      <c r="EE26" s="61">
        <v>1</v>
      </c>
      <c r="EF26" s="61" t="s">
        <v>238</v>
      </c>
      <c r="EG26" s="61"/>
      <c r="EH26" s="61">
        <v>1</v>
      </c>
      <c r="EI26" s="61" t="s">
        <v>239</v>
      </c>
      <c r="EJ26" s="61"/>
      <c r="EK26" s="61">
        <v>1</v>
      </c>
      <c r="EL26" s="61" t="s">
        <v>277</v>
      </c>
      <c r="EM26" s="61"/>
      <c r="EN26" s="61">
        <v>0</v>
      </c>
      <c r="EO26" s="61" t="s">
        <v>241</v>
      </c>
      <c r="EP26" s="61"/>
      <c r="EQ26" s="61">
        <v>1</v>
      </c>
      <c r="ER26" s="61" t="s">
        <v>278</v>
      </c>
      <c r="ES26" s="61"/>
      <c r="ET26" s="61">
        <v>0</v>
      </c>
      <c r="EU26" s="61" t="s">
        <v>243</v>
      </c>
      <c r="EV26" s="61"/>
      <c r="EW26" s="61">
        <v>1</v>
      </c>
      <c r="EX26" s="61" t="s">
        <v>244</v>
      </c>
      <c r="EY26" s="61"/>
      <c r="EZ26" s="61">
        <v>1</v>
      </c>
      <c r="FA26" s="61" t="s">
        <v>280</v>
      </c>
      <c r="FB26" s="61"/>
      <c r="FC26" s="61">
        <v>0</v>
      </c>
      <c r="FD26" s="61" t="s">
        <v>414</v>
      </c>
      <c r="FE26" s="61"/>
      <c r="FF26" s="61">
        <v>0</v>
      </c>
      <c r="FG26" s="61" t="s">
        <v>247</v>
      </c>
      <c r="FH26" s="61"/>
      <c r="FI26" s="61">
        <v>1</v>
      </c>
      <c r="FJ26" s="61" t="s">
        <v>248</v>
      </c>
      <c r="FK26" s="61"/>
      <c r="FL26" s="61">
        <v>0</v>
      </c>
      <c r="FM26" s="61" t="s">
        <v>311</v>
      </c>
      <c r="FN26" s="61"/>
      <c r="FO26" s="61">
        <v>0</v>
      </c>
      <c r="FP26" s="61" t="s">
        <v>250</v>
      </c>
      <c r="FQ26" s="61"/>
      <c r="FR26" s="61">
        <v>1</v>
      </c>
      <c r="FS26" s="61" t="s">
        <v>251</v>
      </c>
      <c r="FT26" s="61"/>
      <c r="FU26" s="61">
        <v>1</v>
      </c>
      <c r="FV26" s="61" t="s">
        <v>252</v>
      </c>
      <c r="FW26" s="61"/>
      <c r="FX26" s="61">
        <v>1</v>
      </c>
      <c r="FY26" s="61" t="s">
        <v>253</v>
      </c>
      <c r="FZ26" s="61"/>
      <c r="GA26" s="61">
        <v>1</v>
      </c>
      <c r="GB26" s="61" t="s">
        <v>254</v>
      </c>
      <c r="GC26" s="61"/>
      <c r="GD26" s="61">
        <v>1</v>
      </c>
      <c r="GE26" s="61" t="s">
        <v>255</v>
      </c>
      <c r="GF26" s="61"/>
      <c r="GG26" s="61">
        <v>1</v>
      </c>
      <c r="GH26" s="61" t="s">
        <v>256</v>
      </c>
      <c r="GI26" s="61"/>
      <c r="GJ26" s="61">
        <v>1</v>
      </c>
      <c r="GK26" s="61" t="s">
        <v>322</v>
      </c>
      <c r="GL26" s="61"/>
      <c r="GM26" s="61">
        <v>0</v>
      </c>
    </row>
    <row r="27" spans="1:195">
      <c r="A27" s="62">
        <v>26</v>
      </c>
      <c r="B27" s="61" t="s">
        <v>415</v>
      </c>
      <c r="C27" s="61" t="s">
        <v>416</v>
      </c>
      <c r="D27" s="61" t="s">
        <v>197</v>
      </c>
      <c r="E27" s="61"/>
      <c r="F27" s="61">
        <v>48</v>
      </c>
      <c r="G27" s="61"/>
      <c r="H27" s="61"/>
      <c r="I27" s="61"/>
      <c r="J27" s="61"/>
      <c r="K27" s="61"/>
      <c r="L27" s="65" t="s">
        <v>629</v>
      </c>
      <c r="M27" s="61" t="s">
        <v>630</v>
      </c>
      <c r="N27" s="61"/>
      <c r="O27" s="61"/>
      <c r="P27" s="61" t="s">
        <v>198</v>
      </c>
      <c r="Q27" s="61">
        <v>0</v>
      </c>
      <c r="R27" s="61"/>
      <c r="S27" s="61" t="s">
        <v>199</v>
      </c>
      <c r="T27" s="61">
        <v>1</v>
      </c>
      <c r="U27" s="61"/>
      <c r="V27" s="61" t="s">
        <v>200</v>
      </c>
      <c r="W27" s="61">
        <v>1</v>
      </c>
      <c r="X27" s="61"/>
      <c r="Y27" s="61" t="s">
        <v>289</v>
      </c>
      <c r="Z27" s="61">
        <v>0</v>
      </c>
      <c r="AA27" s="61"/>
      <c r="AB27" s="61" t="s">
        <v>336</v>
      </c>
      <c r="AC27" s="61"/>
      <c r="AD27" s="61">
        <v>0</v>
      </c>
      <c r="AE27" s="61" t="s">
        <v>262</v>
      </c>
      <c r="AF27" s="61"/>
      <c r="AG27" s="61">
        <v>0</v>
      </c>
      <c r="AH27" s="61" t="s">
        <v>204</v>
      </c>
      <c r="AI27" s="61"/>
      <c r="AJ27" s="61">
        <v>1</v>
      </c>
      <c r="AK27" s="61" t="s">
        <v>409</v>
      </c>
      <c r="AL27" s="61"/>
      <c r="AM27" s="61">
        <v>0</v>
      </c>
      <c r="AN27" s="61" t="s">
        <v>206</v>
      </c>
      <c r="AO27" s="61"/>
      <c r="AP27" s="61">
        <v>1</v>
      </c>
      <c r="AQ27" s="61" t="s">
        <v>207</v>
      </c>
      <c r="AR27" s="61"/>
      <c r="AS27" s="61">
        <v>1</v>
      </c>
      <c r="AT27" s="61" t="s">
        <v>208</v>
      </c>
      <c r="AU27" s="61"/>
      <c r="AV27" s="61">
        <v>1</v>
      </c>
      <c r="AW27" s="61" t="s">
        <v>305</v>
      </c>
      <c r="AX27" s="61"/>
      <c r="AY27" s="61">
        <v>0</v>
      </c>
      <c r="AZ27" s="61" t="s">
        <v>210</v>
      </c>
      <c r="BA27" s="61"/>
      <c r="BB27" s="61">
        <v>1</v>
      </c>
      <c r="BC27" s="61" t="s">
        <v>211</v>
      </c>
      <c r="BD27" s="61"/>
      <c r="BE27" s="61">
        <v>1</v>
      </c>
      <c r="BF27" s="61" t="s">
        <v>388</v>
      </c>
      <c r="BG27" s="61"/>
      <c r="BH27" s="61">
        <v>0</v>
      </c>
      <c r="BI27" s="61" t="s">
        <v>213</v>
      </c>
      <c r="BJ27" s="61"/>
      <c r="BK27" s="61">
        <v>1</v>
      </c>
      <c r="BL27" s="61" t="s">
        <v>214</v>
      </c>
      <c r="BM27" s="61"/>
      <c r="BN27" s="61">
        <v>1</v>
      </c>
      <c r="BO27" s="61" t="s">
        <v>215</v>
      </c>
      <c r="BP27" s="61"/>
      <c r="BQ27" s="61">
        <v>1</v>
      </c>
      <c r="BR27" s="61" t="s">
        <v>216</v>
      </c>
      <c r="BS27" s="61"/>
      <c r="BT27" s="61">
        <v>1</v>
      </c>
      <c r="BU27" s="61" t="s">
        <v>217</v>
      </c>
      <c r="BV27" s="61">
        <v>1</v>
      </c>
      <c r="BW27" s="61"/>
      <c r="BX27" s="61" t="s">
        <v>218</v>
      </c>
      <c r="BY27" s="61">
        <v>1</v>
      </c>
      <c r="BZ27" s="61"/>
      <c r="CA27" s="61" t="s">
        <v>295</v>
      </c>
      <c r="CB27" s="61">
        <v>0</v>
      </c>
      <c r="CC27" s="61"/>
      <c r="CD27" s="61" t="s">
        <v>271</v>
      </c>
      <c r="CE27" s="61">
        <v>1</v>
      </c>
      <c r="CF27" s="61"/>
      <c r="CG27" s="61" t="s">
        <v>221</v>
      </c>
      <c r="CH27" s="61">
        <v>1</v>
      </c>
      <c r="CI27" s="61"/>
      <c r="CJ27" s="61" t="s">
        <v>222</v>
      </c>
      <c r="CK27" s="61"/>
      <c r="CL27" s="61">
        <v>1</v>
      </c>
      <c r="CM27" s="61" t="s">
        <v>223</v>
      </c>
      <c r="CN27" s="61"/>
      <c r="CO27" s="61">
        <v>1</v>
      </c>
      <c r="CP27" s="61" t="s">
        <v>224</v>
      </c>
      <c r="CQ27" s="61"/>
      <c r="CR27" s="61">
        <v>1</v>
      </c>
      <c r="CS27" s="61" t="s">
        <v>307</v>
      </c>
      <c r="CT27" s="61"/>
      <c r="CU27" s="61">
        <v>0</v>
      </c>
      <c r="CV27" s="61" t="s">
        <v>226</v>
      </c>
      <c r="CW27" s="61"/>
      <c r="CX27" s="61">
        <v>1</v>
      </c>
      <c r="CY27" s="61" t="s">
        <v>227</v>
      </c>
      <c r="CZ27" s="61"/>
      <c r="DA27" s="61">
        <v>1</v>
      </c>
      <c r="DB27" s="61" t="s">
        <v>228</v>
      </c>
      <c r="DC27" s="61"/>
      <c r="DD27" s="61">
        <v>1</v>
      </c>
      <c r="DE27" s="61" t="s">
        <v>273</v>
      </c>
      <c r="DF27" s="61"/>
      <c r="DG27" s="61">
        <v>0</v>
      </c>
      <c r="DH27" s="61" t="s">
        <v>230</v>
      </c>
      <c r="DI27" s="61"/>
      <c r="DJ27" s="61">
        <v>1</v>
      </c>
      <c r="DK27" s="61" t="s">
        <v>231</v>
      </c>
      <c r="DL27" s="61"/>
      <c r="DM27" s="61">
        <v>1</v>
      </c>
      <c r="DN27" s="61" t="s">
        <v>232</v>
      </c>
      <c r="DO27" s="61"/>
      <c r="DP27" s="61">
        <v>1</v>
      </c>
      <c r="DQ27" s="61" t="s">
        <v>233</v>
      </c>
      <c r="DR27" s="61"/>
      <c r="DS27" s="61">
        <v>1</v>
      </c>
      <c r="DT27" s="61" t="s">
        <v>234</v>
      </c>
      <c r="DU27" s="61"/>
      <c r="DV27" s="61">
        <v>1</v>
      </c>
      <c r="DW27" s="61" t="s">
        <v>235</v>
      </c>
      <c r="DX27" s="61"/>
      <c r="DY27" s="61">
        <v>1</v>
      </c>
      <c r="DZ27" s="61" t="s">
        <v>236</v>
      </c>
      <c r="EA27" s="61"/>
      <c r="EB27" s="61">
        <v>1</v>
      </c>
      <c r="EC27" s="61" t="s">
        <v>237</v>
      </c>
      <c r="ED27" s="61"/>
      <c r="EE27" s="61">
        <v>1</v>
      </c>
      <c r="EF27" s="61" t="s">
        <v>238</v>
      </c>
      <c r="EG27" s="61"/>
      <c r="EH27" s="61">
        <v>1</v>
      </c>
      <c r="EI27" s="61" t="s">
        <v>239</v>
      </c>
      <c r="EJ27" s="61"/>
      <c r="EK27" s="61">
        <v>1</v>
      </c>
      <c r="EL27" s="61" t="s">
        <v>240</v>
      </c>
      <c r="EM27" s="61"/>
      <c r="EN27" s="61">
        <v>1</v>
      </c>
      <c r="EO27" s="61" t="s">
        <v>241</v>
      </c>
      <c r="EP27" s="61"/>
      <c r="EQ27" s="61">
        <v>1</v>
      </c>
      <c r="ER27" s="61" t="s">
        <v>242</v>
      </c>
      <c r="ES27" s="61"/>
      <c r="ET27" s="61">
        <v>1</v>
      </c>
      <c r="EU27" s="61" t="s">
        <v>243</v>
      </c>
      <c r="EV27" s="61"/>
      <c r="EW27" s="61">
        <v>1</v>
      </c>
      <c r="EX27" s="61" t="s">
        <v>244</v>
      </c>
      <c r="EY27" s="61"/>
      <c r="EZ27" s="61">
        <v>1</v>
      </c>
      <c r="FA27" s="61" t="s">
        <v>280</v>
      </c>
      <c r="FB27" s="61"/>
      <c r="FC27" s="61">
        <v>0</v>
      </c>
      <c r="FD27" s="61" t="s">
        <v>246</v>
      </c>
      <c r="FE27" s="61"/>
      <c r="FF27" s="61">
        <v>1</v>
      </c>
      <c r="FG27" s="61" t="s">
        <v>247</v>
      </c>
      <c r="FH27" s="61"/>
      <c r="FI27" s="61">
        <v>1</v>
      </c>
      <c r="FJ27" s="61" t="s">
        <v>298</v>
      </c>
      <c r="FK27" s="61"/>
      <c r="FL27" s="61">
        <v>1</v>
      </c>
      <c r="FM27" s="61" t="s">
        <v>249</v>
      </c>
      <c r="FN27" s="61"/>
      <c r="FO27" s="61">
        <v>1</v>
      </c>
      <c r="FP27" s="61" t="s">
        <v>250</v>
      </c>
      <c r="FQ27" s="61"/>
      <c r="FR27" s="61">
        <v>1</v>
      </c>
      <c r="FS27" s="61" t="s">
        <v>251</v>
      </c>
      <c r="FT27" s="61"/>
      <c r="FU27" s="61">
        <v>1</v>
      </c>
      <c r="FV27" s="61" t="s">
        <v>252</v>
      </c>
      <c r="FW27" s="61"/>
      <c r="FX27" s="61">
        <v>1</v>
      </c>
      <c r="FY27" s="61" t="s">
        <v>253</v>
      </c>
      <c r="FZ27" s="61"/>
      <c r="GA27" s="61">
        <v>1</v>
      </c>
      <c r="GB27" s="61" t="s">
        <v>254</v>
      </c>
      <c r="GC27" s="61"/>
      <c r="GD27" s="61">
        <v>1</v>
      </c>
      <c r="GE27" s="61" t="s">
        <v>255</v>
      </c>
      <c r="GF27" s="61"/>
      <c r="GG27" s="61">
        <v>1</v>
      </c>
      <c r="GH27" s="61" t="s">
        <v>377</v>
      </c>
      <c r="GI27" s="61"/>
      <c r="GJ27" s="61">
        <v>0</v>
      </c>
      <c r="GK27" s="61" t="s">
        <v>257</v>
      </c>
      <c r="GL27" s="61"/>
      <c r="GM27" s="61">
        <v>1</v>
      </c>
    </row>
    <row r="28" spans="1:195">
      <c r="A28" s="62">
        <v>27</v>
      </c>
      <c r="B28" s="61" t="s">
        <v>417</v>
      </c>
      <c r="C28" s="61" t="s">
        <v>418</v>
      </c>
      <c r="D28" s="61" t="s">
        <v>197</v>
      </c>
      <c r="E28" s="61"/>
      <c r="F28" s="61">
        <v>40</v>
      </c>
      <c r="G28" s="61"/>
      <c r="H28" s="61"/>
      <c r="I28" s="61"/>
      <c r="J28" s="61"/>
      <c r="K28" s="61"/>
      <c r="L28" s="65" t="s">
        <v>631</v>
      </c>
      <c r="M28" s="61" t="s">
        <v>632</v>
      </c>
      <c r="N28" s="61"/>
      <c r="O28" s="61"/>
      <c r="P28" s="61" t="s">
        <v>198</v>
      </c>
      <c r="Q28" s="61">
        <v>0</v>
      </c>
      <c r="R28" s="61"/>
      <c r="S28" s="61" t="s">
        <v>199</v>
      </c>
      <c r="T28" s="61">
        <v>1</v>
      </c>
      <c r="U28" s="61"/>
      <c r="V28" s="61" t="s">
        <v>200</v>
      </c>
      <c r="W28" s="61">
        <v>1</v>
      </c>
      <c r="X28" s="61"/>
      <c r="Y28" s="61" t="s">
        <v>201</v>
      </c>
      <c r="Z28" s="61">
        <v>0</v>
      </c>
      <c r="AA28" s="61"/>
      <c r="AB28" s="61" t="s">
        <v>336</v>
      </c>
      <c r="AC28" s="61"/>
      <c r="AD28" s="61">
        <v>0</v>
      </c>
      <c r="AE28" s="61" t="s">
        <v>262</v>
      </c>
      <c r="AF28" s="61"/>
      <c r="AG28" s="61">
        <v>0</v>
      </c>
      <c r="AH28" s="61" t="s">
        <v>263</v>
      </c>
      <c r="AI28" s="61"/>
      <c r="AJ28" s="61">
        <v>0</v>
      </c>
      <c r="AK28" s="61" t="s">
        <v>205</v>
      </c>
      <c r="AL28" s="61"/>
      <c r="AM28" s="61">
        <v>1</v>
      </c>
      <c r="AN28" s="61" t="s">
        <v>291</v>
      </c>
      <c r="AO28" s="61"/>
      <c r="AP28" s="61">
        <v>0</v>
      </c>
      <c r="AQ28" s="61" t="s">
        <v>207</v>
      </c>
      <c r="AR28" s="61"/>
      <c r="AS28" s="61">
        <v>1</v>
      </c>
      <c r="AT28" s="61" t="s">
        <v>338</v>
      </c>
      <c r="AU28" s="61"/>
      <c r="AV28" s="61">
        <v>0</v>
      </c>
      <c r="AW28" s="61" t="s">
        <v>293</v>
      </c>
      <c r="AX28" s="61"/>
      <c r="AY28" s="61">
        <v>0</v>
      </c>
      <c r="AZ28" s="61" t="s">
        <v>210</v>
      </c>
      <c r="BA28" s="61"/>
      <c r="BB28" s="61">
        <v>1</v>
      </c>
      <c r="BC28" s="61" t="s">
        <v>211</v>
      </c>
      <c r="BD28" s="61"/>
      <c r="BE28" s="61">
        <v>1</v>
      </c>
      <c r="BF28" s="61" t="s">
        <v>212</v>
      </c>
      <c r="BG28" s="61"/>
      <c r="BH28" s="61">
        <v>1</v>
      </c>
      <c r="BI28" s="61" t="s">
        <v>213</v>
      </c>
      <c r="BJ28" s="61"/>
      <c r="BK28" s="61">
        <v>1</v>
      </c>
      <c r="BL28" s="61" t="s">
        <v>214</v>
      </c>
      <c r="BM28" s="61"/>
      <c r="BN28" s="61">
        <v>1</v>
      </c>
      <c r="BO28" s="61" t="s">
        <v>215</v>
      </c>
      <c r="BP28" s="61"/>
      <c r="BQ28" s="61">
        <v>1</v>
      </c>
      <c r="BR28" s="61" t="s">
        <v>216</v>
      </c>
      <c r="BS28" s="61"/>
      <c r="BT28" s="61">
        <v>1</v>
      </c>
      <c r="BU28" s="61" t="s">
        <v>217</v>
      </c>
      <c r="BV28" s="61">
        <v>1</v>
      </c>
      <c r="BW28" s="61"/>
      <c r="BX28" s="61" t="s">
        <v>269</v>
      </c>
      <c r="BY28" s="61">
        <v>0</v>
      </c>
      <c r="BZ28" s="61"/>
      <c r="CA28" s="61" t="s">
        <v>219</v>
      </c>
      <c r="CB28" s="61">
        <v>1</v>
      </c>
      <c r="CC28" s="61"/>
      <c r="CD28" s="61" t="s">
        <v>419</v>
      </c>
      <c r="CE28" s="61">
        <v>0</v>
      </c>
      <c r="CF28" s="61"/>
      <c r="CG28" s="61" t="s">
        <v>221</v>
      </c>
      <c r="CH28" s="61">
        <v>1</v>
      </c>
      <c r="CI28" s="61"/>
      <c r="CJ28" s="61" t="s">
        <v>222</v>
      </c>
      <c r="CK28" s="61"/>
      <c r="CL28" s="61">
        <v>1</v>
      </c>
      <c r="CM28" s="61" t="s">
        <v>223</v>
      </c>
      <c r="CN28" s="61"/>
      <c r="CO28" s="61">
        <v>1</v>
      </c>
      <c r="CP28" s="61" t="s">
        <v>224</v>
      </c>
      <c r="CQ28" s="61"/>
      <c r="CR28" s="61">
        <v>1</v>
      </c>
      <c r="CS28" s="61" t="s">
        <v>225</v>
      </c>
      <c r="CT28" s="61"/>
      <c r="CU28" s="61">
        <v>1</v>
      </c>
      <c r="CV28" s="61" t="s">
        <v>226</v>
      </c>
      <c r="CW28" s="61"/>
      <c r="CX28" s="61">
        <v>1</v>
      </c>
      <c r="CY28" s="61" t="s">
        <v>227</v>
      </c>
      <c r="CZ28" s="61"/>
      <c r="DA28" s="61">
        <v>1</v>
      </c>
      <c r="DB28" s="61" t="s">
        <v>228</v>
      </c>
      <c r="DC28" s="61"/>
      <c r="DD28" s="61">
        <v>1</v>
      </c>
      <c r="DE28" s="61" t="s">
        <v>229</v>
      </c>
      <c r="DF28" s="61"/>
      <c r="DG28" s="61">
        <v>1</v>
      </c>
      <c r="DH28" s="61" t="s">
        <v>230</v>
      </c>
      <c r="DI28" s="61"/>
      <c r="DJ28" s="61">
        <v>1</v>
      </c>
      <c r="DK28" s="61" t="s">
        <v>231</v>
      </c>
      <c r="DL28" s="61"/>
      <c r="DM28" s="61">
        <v>1</v>
      </c>
      <c r="DN28" s="61" t="s">
        <v>232</v>
      </c>
      <c r="DO28" s="61"/>
      <c r="DP28" s="61">
        <v>1</v>
      </c>
      <c r="DQ28" s="61" t="s">
        <v>347</v>
      </c>
      <c r="DR28" s="61"/>
      <c r="DS28" s="61">
        <v>0</v>
      </c>
      <c r="DT28" s="61" t="s">
        <v>234</v>
      </c>
      <c r="DU28" s="61"/>
      <c r="DV28" s="61">
        <v>1</v>
      </c>
      <c r="DW28" s="61" t="s">
        <v>235</v>
      </c>
      <c r="DX28" s="61"/>
      <c r="DY28" s="61">
        <v>1</v>
      </c>
      <c r="DZ28" s="61" t="s">
        <v>275</v>
      </c>
      <c r="EA28" s="61"/>
      <c r="EB28" s="61">
        <v>0</v>
      </c>
      <c r="EC28" s="61" t="s">
        <v>237</v>
      </c>
      <c r="ED28" s="61"/>
      <c r="EE28" s="61">
        <v>1</v>
      </c>
      <c r="EF28" s="61" t="s">
        <v>320</v>
      </c>
      <c r="EG28" s="61"/>
      <c r="EH28" s="61">
        <v>0</v>
      </c>
      <c r="EI28" s="61" t="s">
        <v>239</v>
      </c>
      <c r="EJ28" s="61"/>
      <c r="EK28" s="61">
        <v>1</v>
      </c>
      <c r="EL28" s="61" t="s">
        <v>348</v>
      </c>
      <c r="EM28" s="61"/>
      <c r="EN28" s="61">
        <v>0</v>
      </c>
      <c r="EO28" s="61" t="s">
        <v>241</v>
      </c>
      <c r="EP28" s="61"/>
      <c r="EQ28" s="61">
        <v>1</v>
      </c>
      <c r="ER28" s="61" t="s">
        <v>242</v>
      </c>
      <c r="ES28" s="61"/>
      <c r="ET28" s="61">
        <v>1</v>
      </c>
      <c r="EU28" s="61" t="s">
        <v>243</v>
      </c>
      <c r="EV28" s="61"/>
      <c r="EW28" s="61">
        <v>1</v>
      </c>
      <c r="EX28" s="61" t="s">
        <v>244</v>
      </c>
      <c r="EY28" s="61"/>
      <c r="EZ28" s="61">
        <v>1</v>
      </c>
      <c r="FA28" s="61" t="s">
        <v>280</v>
      </c>
      <c r="FB28" s="61"/>
      <c r="FC28" s="61">
        <v>0</v>
      </c>
      <c r="FD28" s="61" t="s">
        <v>246</v>
      </c>
      <c r="FE28" s="61"/>
      <c r="FF28" s="61">
        <v>1</v>
      </c>
      <c r="FG28" s="61" t="s">
        <v>247</v>
      </c>
      <c r="FH28" s="61"/>
      <c r="FI28" s="61">
        <v>1</v>
      </c>
      <c r="FJ28" s="61" t="s">
        <v>248</v>
      </c>
      <c r="FK28" s="61"/>
      <c r="FL28" s="61">
        <v>0</v>
      </c>
      <c r="FM28" s="61" t="s">
        <v>311</v>
      </c>
      <c r="FN28" s="61"/>
      <c r="FO28" s="61">
        <v>0</v>
      </c>
      <c r="FP28" s="61" t="s">
        <v>250</v>
      </c>
      <c r="FQ28" s="61"/>
      <c r="FR28" s="61">
        <v>1</v>
      </c>
      <c r="FS28" s="61" t="s">
        <v>251</v>
      </c>
      <c r="FT28" s="61"/>
      <c r="FU28" s="61">
        <v>1</v>
      </c>
      <c r="FV28" s="61" t="s">
        <v>252</v>
      </c>
      <c r="FW28" s="61"/>
      <c r="FX28" s="61">
        <v>1</v>
      </c>
      <c r="FY28" s="61" t="s">
        <v>253</v>
      </c>
      <c r="FZ28" s="61"/>
      <c r="GA28" s="61">
        <v>1</v>
      </c>
      <c r="GB28" s="61" t="s">
        <v>254</v>
      </c>
      <c r="GC28" s="61"/>
      <c r="GD28" s="61">
        <v>1</v>
      </c>
      <c r="GE28" s="61" t="s">
        <v>284</v>
      </c>
      <c r="GF28" s="61"/>
      <c r="GG28" s="61">
        <v>0</v>
      </c>
      <c r="GH28" s="61" t="s">
        <v>285</v>
      </c>
      <c r="GI28" s="61"/>
      <c r="GJ28" s="61">
        <v>0</v>
      </c>
      <c r="GK28" s="61" t="s">
        <v>286</v>
      </c>
      <c r="GL28" s="61"/>
      <c r="GM28" s="61">
        <v>0</v>
      </c>
    </row>
    <row r="29" spans="1:195">
      <c r="A29" s="62">
        <v>28</v>
      </c>
      <c r="B29" s="61" t="s">
        <v>420</v>
      </c>
      <c r="C29" s="61" t="s">
        <v>421</v>
      </c>
      <c r="D29" s="61" t="s">
        <v>197</v>
      </c>
      <c r="E29" s="61"/>
      <c r="F29" s="61">
        <v>47</v>
      </c>
      <c r="G29" s="61"/>
      <c r="H29" s="61"/>
      <c r="I29" s="61"/>
      <c r="J29" s="61"/>
      <c r="K29" s="61"/>
      <c r="L29" s="65" t="s">
        <v>633</v>
      </c>
      <c r="M29" s="61" t="s">
        <v>634</v>
      </c>
      <c r="N29" s="61"/>
      <c r="O29" s="61"/>
      <c r="P29" s="61" t="s">
        <v>364</v>
      </c>
      <c r="Q29" s="61">
        <v>0</v>
      </c>
      <c r="R29" s="61"/>
      <c r="S29" s="61" t="s">
        <v>199</v>
      </c>
      <c r="T29" s="61">
        <v>1</v>
      </c>
      <c r="U29" s="61"/>
      <c r="V29" s="61" t="s">
        <v>200</v>
      </c>
      <c r="W29" s="61">
        <v>1</v>
      </c>
      <c r="X29" s="61"/>
      <c r="Y29" s="61" t="s">
        <v>261</v>
      </c>
      <c r="Z29" s="61">
        <v>1</v>
      </c>
      <c r="AA29" s="61"/>
      <c r="AB29" s="61" t="s">
        <v>336</v>
      </c>
      <c r="AC29" s="61"/>
      <c r="AD29" s="61">
        <v>0</v>
      </c>
      <c r="AE29" s="61" t="s">
        <v>262</v>
      </c>
      <c r="AF29" s="61"/>
      <c r="AG29" s="61">
        <v>0</v>
      </c>
      <c r="AH29" s="61" t="s">
        <v>204</v>
      </c>
      <c r="AI29" s="61"/>
      <c r="AJ29" s="61">
        <v>1</v>
      </c>
      <c r="AK29" s="61" t="s">
        <v>205</v>
      </c>
      <c r="AL29" s="61"/>
      <c r="AM29" s="61">
        <v>1</v>
      </c>
      <c r="AN29" s="61" t="s">
        <v>206</v>
      </c>
      <c r="AO29" s="61"/>
      <c r="AP29" s="61">
        <v>1</v>
      </c>
      <c r="AQ29" s="61" t="s">
        <v>207</v>
      </c>
      <c r="AR29" s="61"/>
      <c r="AS29" s="61">
        <v>1</v>
      </c>
      <c r="AT29" s="61" t="s">
        <v>208</v>
      </c>
      <c r="AU29" s="61"/>
      <c r="AV29" s="61">
        <v>1</v>
      </c>
      <c r="AW29" s="61" t="s">
        <v>293</v>
      </c>
      <c r="AX29" s="61"/>
      <c r="AY29" s="61">
        <v>0</v>
      </c>
      <c r="AZ29" s="61" t="s">
        <v>210</v>
      </c>
      <c r="BA29" s="61"/>
      <c r="BB29" s="61">
        <v>1</v>
      </c>
      <c r="BC29" s="61" t="s">
        <v>211</v>
      </c>
      <c r="BD29" s="61"/>
      <c r="BE29" s="61">
        <v>1</v>
      </c>
      <c r="BF29" s="61" t="s">
        <v>267</v>
      </c>
      <c r="BG29" s="61"/>
      <c r="BH29" s="61">
        <v>0</v>
      </c>
      <c r="BI29" s="61" t="s">
        <v>316</v>
      </c>
      <c r="BJ29" s="61"/>
      <c r="BK29" s="61">
        <v>0</v>
      </c>
      <c r="BL29" s="61" t="s">
        <v>214</v>
      </c>
      <c r="BM29" s="61"/>
      <c r="BN29" s="61">
        <v>1</v>
      </c>
      <c r="BO29" s="61" t="s">
        <v>215</v>
      </c>
      <c r="BP29" s="61"/>
      <c r="BQ29" s="61">
        <v>1</v>
      </c>
      <c r="BR29" s="61" t="s">
        <v>216</v>
      </c>
      <c r="BS29" s="61"/>
      <c r="BT29" s="61">
        <v>1</v>
      </c>
      <c r="BU29" s="61" t="s">
        <v>217</v>
      </c>
      <c r="BV29" s="61">
        <v>1</v>
      </c>
      <c r="BW29" s="61"/>
      <c r="BX29" s="61" t="s">
        <v>218</v>
      </c>
      <c r="BY29" s="61">
        <v>1</v>
      </c>
      <c r="BZ29" s="61"/>
      <c r="CA29" s="61" t="s">
        <v>219</v>
      </c>
      <c r="CB29" s="61">
        <v>1</v>
      </c>
      <c r="CC29" s="61"/>
      <c r="CD29" s="61" t="s">
        <v>271</v>
      </c>
      <c r="CE29" s="61">
        <v>1</v>
      </c>
      <c r="CF29" s="61"/>
      <c r="CG29" s="61" t="s">
        <v>221</v>
      </c>
      <c r="CH29" s="61">
        <v>1</v>
      </c>
      <c r="CI29" s="61"/>
      <c r="CJ29" s="61" t="s">
        <v>222</v>
      </c>
      <c r="CK29" s="61"/>
      <c r="CL29" s="61">
        <v>1</v>
      </c>
      <c r="CM29" s="61" t="s">
        <v>223</v>
      </c>
      <c r="CN29" s="61"/>
      <c r="CO29" s="61">
        <v>1</v>
      </c>
      <c r="CP29" s="61" t="s">
        <v>224</v>
      </c>
      <c r="CQ29" s="61"/>
      <c r="CR29" s="61">
        <v>1</v>
      </c>
      <c r="CS29" s="61" t="s">
        <v>225</v>
      </c>
      <c r="CT29" s="61"/>
      <c r="CU29" s="61">
        <v>1</v>
      </c>
      <c r="CV29" s="61" t="s">
        <v>226</v>
      </c>
      <c r="CW29" s="61"/>
      <c r="CX29" s="61">
        <v>1</v>
      </c>
      <c r="CY29" s="61" t="s">
        <v>227</v>
      </c>
      <c r="CZ29" s="61"/>
      <c r="DA29" s="61">
        <v>1</v>
      </c>
      <c r="DB29" s="61" t="s">
        <v>228</v>
      </c>
      <c r="DC29" s="61"/>
      <c r="DD29" s="61">
        <v>1</v>
      </c>
      <c r="DE29" s="61" t="s">
        <v>229</v>
      </c>
      <c r="DF29" s="61"/>
      <c r="DG29" s="61">
        <v>1</v>
      </c>
      <c r="DH29" s="61" t="s">
        <v>230</v>
      </c>
      <c r="DI29" s="61"/>
      <c r="DJ29" s="61">
        <v>1</v>
      </c>
      <c r="DK29" s="61" t="s">
        <v>231</v>
      </c>
      <c r="DL29" s="61"/>
      <c r="DM29" s="61">
        <v>1</v>
      </c>
      <c r="DN29" s="61" t="s">
        <v>232</v>
      </c>
      <c r="DO29" s="61"/>
      <c r="DP29" s="61">
        <v>1</v>
      </c>
      <c r="DQ29" s="61" t="s">
        <v>233</v>
      </c>
      <c r="DR29" s="61"/>
      <c r="DS29" s="61">
        <v>1</v>
      </c>
      <c r="DT29" s="61" t="s">
        <v>234</v>
      </c>
      <c r="DU29" s="61"/>
      <c r="DV29" s="61">
        <v>1</v>
      </c>
      <c r="DW29" s="61" t="s">
        <v>235</v>
      </c>
      <c r="DX29" s="61"/>
      <c r="DY29" s="61">
        <v>1</v>
      </c>
      <c r="DZ29" s="61" t="s">
        <v>236</v>
      </c>
      <c r="EA29" s="61"/>
      <c r="EB29" s="61">
        <v>1</v>
      </c>
      <c r="EC29" s="61" t="s">
        <v>297</v>
      </c>
      <c r="ED29" s="61"/>
      <c r="EE29" s="61">
        <v>0</v>
      </c>
      <c r="EF29" s="61" t="s">
        <v>238</v>
      </c>
      <c r="EG29" s="61"/>
      <c r="EH29" s="61">
        <v>1</v>
      </c>
      <c r="EI29" s="61" t="s">
        <v>239</v>
      </c>
      <c r="EJ29" s="61"/>
      <c r="EK29" s="61">
        <v>1</v>
      </c>
      <c r="EL29" s="61" t="s">
        <v>240</v>
      </c>
      <c r="EM29" s="61"/>
      <c r="EN29" s="61">
        <v>1</v>
      </c>
      <c r="EO29" s="61" t="s">
        <v>241</v>
      </c>
      <c r="EP29" s="61"/>
      <c r="EQ29" s="61">
        <v>1</v>
      </c>
      <c r="ER29" s="61" t="s">
        <v>278</v>
      </c>
      <c r="ES29" s="61"/>
      <c r="ET29" s="61">
        <v>0</v>
      </c>
      <c r="EU29" s="61" t="s">
        <v>243</v>
      </c>
      <c r="EV29" s="61"/>
      <c r="EW29" s="61">
        <v>1</v>
      </c>
      <c r="EX29" s="61" t="s">
        <v>340</v>
      </c>
      <c r="EY29" s="61"/>
      <c r="EZ29" s="61">
        <v>0</v>
      </c>
      <c r="FA29" s="61" t="s">
        <v>245</v>
      </c>
      <c r="FB29" s="61"/>
      <c r="FC29" s="61">
        <v>1</v>
      </c>
      <c r="FD29" s="61" t="s">
        <v>422</v>
      </c>
      <c r="FE29" s="61"/>
      <c r="FF29" s="61">
        <v>0</v>
      </c>
      <c r="FG29" s="61" t="s">
        <v>282</v>
      </c>
      <c r="FH29" s="61"/>
      <c r="FI29" s="61">
        <v>0</v>
      </c>
      <c r="FJ29" s="61" t="s">
        <v>298</v>
      </c>
      <c r="FK29" s="61"/>
      <c r="FL29" s="61">
        <v>1</v>
      </c>
      <c r="FM29" s="61" t="s">
        <v>311</v>
      </c>
      <c r="FN29" s="61"/>
      <c r="FO29" s="61">
        <v>0</v>
      </c>
      <c r="FP29" s="61" t="s">
        <v>250</v>
      </c>
      <c r="FQ29" s="61"/>
      <c r="FR29" s="61">
        <v>1</v>
      </c>
      <c r="FS29" s="61" t="s">
        <v>251</v>
      </c>
      <c r="FT29" s="61"/>
      <c r="FU29" s="61">
        <v>1</v>
      </c>
      <c r="FV29" s="61" t="s">
        <v>252</v>
      </c>
      <c r="FW29" s="61"/>
      <c r="FX29" s="61">
        <v>1</v>
      </c>
      <c r="FY29" s="61" t="s">
        <v>253</v>
      </c>
      <c r="FZ29" s="61"/>
      <c r="GA29" s="61">
        <v>1</v>
      </c>
      <c r="GB29" s="61" t="s">
        <v>254</v>
      </c>
      <c r="GC29" s="61"/>
      <c r="GD29" s="61">
        <v>1</v>
      </c>
      <c r="GE29" s="61" t="s">
        <v>255</v>
      </c>
      <c r="GF29" s="61"/>
      <c r="GG29" s="61">
        <v>1</v>
      </c>
      <c r="GH29" s="61" t="s">
        <v>256</v>
      </c>
      <c r="GI29" s="61"/>
      <c r="GJ29" s="61">
        <v>1</v>
      </c>
      <c r="GK29" s="61" t="s">
        <v>286</v>
      </c>
      <c r="GL29" s="61"/>
      <c r="GM29" s="61">
        <v>0</v>
      </c>
    </row>
    <row r="30" spans="1:195">
      <c r="A30" s="62">
        <v>29</v>
      </c>
      <c r="B30" s="61" t="s">
        <v>423</v>
      </c>
      <c r="C30" s="61" t="s">
        <v>424</v>
      </c>
      <c r="D30" s="61" t="s">
        <v>197</v>
      </c>
      <c r="E30" s="61"/>
      <c r="F30" s="61">
        <v>40</v>
      </c>
      <c r="G30" s="61"/>
      <c r="H30" s="61"/>
      <c r="I30" s="61"/>
      <c r="J30" s="61"/>
      <c r="K30" s="61"/>
      <c r="L30" s="65" t="s">
        <v>635</v>
      </c>
      <c r="M30" s="61" t="s">
        <v>636</v>
      </c>
      <c r="N30" s="61"/>
      <c r="O30" s="61"/>
      <c r="P30" s="61" t="s">
        <v>260</v>
      </c>
      <c r="Q30" s="61">
        <v>1</v>
      </c>
      <c r="R30" s="61"/>
      <c r="S30" s="61" t="s">
        <v>199</v>
      </c>
      <c r="T30" s="61">
        <v>1</v>
      </c>
      <c r="U30" s="61"/>
      <c r="V30" s="61" t="s">
        <v>200</v>
      </c>
      <c r="W30" s="61">
        <v>1</v>
      </c>
      <c r="X30" s="61"/>
      <c r="Y30" s="61" t="s">
        <v>261</v>
      </c>
      <c r="Z30" s="61">
        <v>1</v>
      </c>
      <c r="AA30" s="61"/>
      <c r="AB30" s="61" t="s">
        <v>290</v>
      </c>
      <c r="AC30" s="61"/>
      <c r="AD30" s="61">
        <v>1</v>
      </c>
      <c r="AE30" s="61" t="s">
        <v>203</v>
      </c>
      <c r="AF30" s="61"/>
      <c r="AG30" s="61">
        <v>1</v>
      </c>
      <c r="AH30" s="61" t="s">
        <v>263</v>
      </c>
      <c r="AI30" s="61"/>
      <c r="AJ30" s="61">
        <v>0</v>
      </c>
      <c r="AK30" s="61" t="s">
        <v>264</v>
      </c>
      <c r="AL30" s="61"/>
      <c r="AM30" s="61">
        <v>0</v>
      </c>
      <c r="AN30" s="61" t="s">
        <v>291</v>
      </c>
      <c r="AO30" s="61"/>
      <c r="AP30" s="61">
        <v>0</v>
      </c>
      <c r="AQ30" s="61" t="s">
        <v>207</v>
      </c>
      <c r="AR30" s="61"/>
      <c r="AS30" s="61">
        <v>1</v>
      </c>
      <c r="AT30" s="61" t="s">
        <v>338</v>
      </c>
      <c r="AU30" s="61"/>
      <c r="AV30" s="61">
        <v>0</v>
      </c>
      <c r="AW30" s="61" t="s">
        <v>265</v>
      </c>
      <c r="AX30" s="61"/>
      <c r="AY30" s="61">
        <v>0</v>
      </c>
      <c r="AZ30" s="61" t="s">
        <v>210</v>
      </c>
      <c r="BA30" s="61"/>
      <c r="BB30" s="61">
        <v>1</v>
      </c>
      <c r="BC30" s="61" t="s">
        <v>211</v>
      </c>
      <c r="BD30" s="61"/>
      <c r="BE30" s="61">
        <v>1</v>
      </c>
      <c r="BF30" s="61" t="s">
        <v>267</v>
      </c>
      <c r="BG30" s="61"/>
      <c r="BH30" s="61">
        <v>0</v>
      </c>
      <c r="BI30" s="61" t="s">
        <v>316</v>
      </c>
      <c r="BJ30" s="61"/>
      <c r="BK30" s="61">
        <v>0</v>
      </c>
      <c r="BL30" s="61" t="s">
        <v>214</v>
      </c>
      <c r="BM30" s="61"/>
      <c r="BN30" s="61">
        <v>1</v>
      </c>
      <c r="BO30" s="61" t="s">
        <v>215</v>
      </c>
      <c r="BP30" s="61"/>
      <c r="BQ30" s="61">
        <v>1</v>
      </c>
      <c r="BR30" s="61" t="s">
        <v>216</v>
      </c>
      <c r="BS30" s="61"/>
      <c r="BT30" s="61">
        <v>1</v>
      </c>
      <c r="BU30" s="61" t="s">
        <v>217</v>
      </c>
      <c r="BV30" s="61">
        <v>1</v>
      </c>
      <c r="BW30" s="61"/>
      <c r="BX30" s="61" t="s">
        <v>218</v>
      </c>
      <c r="BY30" s="61">
        <v>1</v>
      </c>
      <c r="BZ30" s="61"/>
      <c r="CA30" s="61" t="s">
        <v>270</v>
      </c>
      <c r="CB30" s="61">
        <v>0</v>
      </c>
      <c r="CC30" s="61"/>
      <c r="CD30" s="61" t="s">
        <v>271</v>
      </c>
      <c r="CE30" s="61">
        <v>1</v>
      </c>
      <c r="CF30" s="61"/>
      <c r="CG30" s="61" t="s">
        <v>221</v>
      </c>
      <c r="CH30" s="61">
        <v>1</v>
      </c>
      <c r="CI30" s="61"/>
      <c r="CJ30" s="61" t="s">
        <v>222</v>
      </c>
      <c r="CK30" s="61"/>
      <c r="CL30" s="61">
        <v>1</v>
      </c>
      <c r="CM30" s="61" t="s">
        <v>406</v>
      </c>
      <c r="CN30" s="61"/>
      <c r="CO30" s="61">
        <v>0</v>
      </c>
      <c r="CP30" s="61" t="s">
        <v>224</v>
      </c>
      <c r="CQ30" s="61"/>
      <c r="CR30" s="61">
        <v>1</v>
      </c>
      <c r="CS30" s="61" t="s">
        <v>225</v>
      </c>
      <c r="CT30" s="61"/>
      <c r="CU30" s="61">
        <v>1</v>
      </c>
      <c r="CV30" s="61" t="s">
        <v>226</v>
      </c>
      <c r="CW30" s="61"/>
      <c r="CX30" s="61">
        <v>1</v>
      </c>
      <c r="CY30" s="61" t="s">
        <v>425</v>
      </c>
      <c r="CZ30" s="61"/>
      <c r="DA30" s="61">
        <v>0</v>
      </c>
      <c r="DB30" s="61" t="s">
        <v>228</v>
      </c>
      <c r="DC30" s="61"/>
      <c r="DD30" s="61">
        <v>1</v>
      </c>
      <c r="DE30" s="61" t="s">
        <v>296</v>
      </c>
      <c r="DF30" s="61"/>
      <c r="DG30" s="61">
        <v>0</v>
      </c>
      <c r="DH30" s="61" t="s">
        <v>230</v>
      </c>
      <c r="DI30" s="61"/>
      <c r="DJ30" s="61">
        <v>1</v>
      </c>
      <c r="DK30" s="61" t="s">
        <v>231</v>
      </c>
      <c r="DL30" s="61"/>
      <c r="DM30" s="61">
        <v>1</v>
      </c>
      <c r="DN30" s="61" t="s">
        <v>232</v>
      </c>
      <c r="DO30" s="61"/>
      <c r="DP30" s="61">
        <v>1</v>
      </c>
      <c r="DQ30" s="61" t="s">
        <v>233</v>
      </c>
      <c r="DR30" s="61"/>
      <c r="DS30" s="61">
        <v>1</v>
      </c>
      <c r="DT30" s="61" t="s">
        <v>234</v>
      </c>
      <c r="DU30" s="61"/>
      <c r="DV30" s="61">
        <v>1</v>
      </c>
      <c r="DW30" s="61" t="s">
        <v>235</v>
      </c>
      <c r="DX30" s="61"/>
      <c r="DY30" s="61">
        <v>1</v>
      </c>
      <c r="DZ30" s="61" t="s">
        <v>236</v>
      </c>
      <c r="EA30" s="61"/>
      <c r="EB30" s="61">
        <v>1</v>
      </c>
      <c r="EC30" s="61" t="s">
        <v>237</v>
      </c>
      <c r="ED30" s="61"/>
      <c r="EE30" s="61">
        <v>1</v>
      </c>
      <c r="EF30" s="61" t="s">
        <v>238</v>
      </c>
      <c r="EG30" s="61"/>
      <c r="EH30" s="61">
        <v>1</v>
      </c>
      <c r="EI30" s="61" t="s">
        <v>239</v>
      </c>
      <c r="EJ30" s="61"/>
      <c r="EK30" s="61">
        <v>1</v>
      </c>
      <c r="EL30" s="61" t="s">
        <v>277</v>
      </c>
      <c r="EM30" s="61"/>
      <c r="EN30" s="61">
        <v>0</v>
      </c>
      <c r="EO30" s="61" t="s">
        <v>241</v>
      </c>
      <c r="EP30" s="61"/>
      <c r="EQ30" s="61">
        <v>1</v>
      </c>
      <c r="ER30" s="61" t="s">
        <v>278</v>
      </c>
      <c r="ES30" s="61"/>
      <c r="ET30" s="61">
        <v>0</v>
      </c>
      <c r="EU30" s="61" t="s">
        <v>243</v>
      </c>
      <c r="EV30" s="61"/>
      <c r="EW30" s="61">
        <v>1</v>
      </c>
      <c r="EX30" s="61" t="s">
        <v>340</v>
      </c>
      <c r="EY30" s="61"/>
      <c r="EZ30" s="61">
        <v>0</v>
      </c>
      <c r="FA30" s="61" t="s">
        <v>361</v>
      </c>
      <c r="FB30" s="61"/>
      <c r="FC30" s="61">
        <v>0</v>
      </c>
      <c r="FD30" s="61" t="s">
        <v>246</v>
      </c>
      <c r="FE30" s="61"/>
      <c r="FF30" s="61">
        <v>1</v>
      </c>
      <c r="FG30" s="61" t="s">
        <v>247</v>
      </c>
      <c r="FH30" s="61"/>
      <c r="FI30" s="61">
        <v>1</v>
      </c>
      <c r="FJ30" s="61" t="s">
        <v>298</v>
      </c>
      <c r="FK30" s="61"/>
      <c r="FL30" s="61">
        <v>1</v>
      </c>
      <c r="FM30" s="61" t="s">
        <v>311</v>
      </c>
      <c r="FN30" s="61"/>
      <c r="FO30" s="61">
        <v>0</v>
      </c>
      <c r="FP30" s="61" t="s">
        <v>332</v>
      </c>
      <c r="FQ30" s="61"/>
      <c r="FR30" s="61">
        <v>0</v>
      </c>
      <c r="FS30" s="61" t="s">
        <v>426</v>
      </c>
      <c r="FT30" s="61"/>
      <c r="FU30" s="61">
        <v>0</v>
      </c>
      <c r="FV30" s="61" t="s">
        <v>252</v>
      </c>
      <c r="FW30" s="61"/>
      <c r="FX30" s="61">
        <v>1</v>
      </c>
      <c r="FY30" s="61" t="s">
        <v>253</v>
      </c>
      <c r="FZ30" s="61"/>
      <c r="GA30" s="61">
        <v>1</v>
      </c>
      <c r="GB30" s="61" t="s">
        <v>254</v>
      </c>
      <c r="GC30" s="61"/>
      <c r="GD30" s="61">
        <v>1</v>
      </c>
      <c r="GE30" s="61" t="s">
        <v>284</v>
      </c>
      <c r="GF30" s="61"/>
      <c r="GG30" s="61">
        <v>0</v>
      </c>
      <c r="GH30" s="61" t="s">
        <v>377</v>
      </c>
      <c r="GI30" s="61"/>
      <c r="GJ30" s="61">
        <v>0</v>
      </c>
      <c r="GK30" s="61" t="s">
        <v>257</v>
      </c>
      <c r="GL30" s="61"/>
      <c r="GM30" s="61">
        <v>1</v>
      </c>
    </row>
    <row r="31" spans="1:195">
      <c r="A31" s="62">
        <v>30</v>
      </c>
      <c r="B31" s="61" t="s">
        <v>427</v>
      </c>
      <c r="C31" s="61" t="s">
        <v>428</v>
      </c>
      <c r="D31" s="61" t="s">
        <v>197</v>
      </c>
      <c r="E31" s="61"/>
      <c r="F31" s="61">
        <v>43</v>
      </c>
      <c r="G31" s="61"/>
      <c r="H31" s="61"/>
      <c r="I31" s="61"/>
      <c r="J31" s="61"/>
      <c r="K31" s="61"/>
      <c r="L31" s="65" t="s">
        <v>637</v>
      </c>
      <c r="M31" s="61" t="s">
        <v>638</v>
      </c>
      <c r="N31" s="61"/>
      <c r="O31" s="61"/>
      <c r="P31" s="61" t="s">
        <v>260</v>
      </c>
      <c r="Q31" s="61">
        <v>1</v>
      </c>
      <c r="R31" s="61"/>
      <c r="S31" s="61" t="s">
        <v>199</v>
      </c>
      <c r="T31" s="61">
        <v>1</v>
      </c>
      <c r="U31" s="61"/>
      <c r="V31" s="61" t="s">
        <v>314</v>
      </c>
      <c r="W31" s="61">
        <v>0</v>
      </c>
      <c r="X31" s="61"/>
      <c r="Y31" s="61" t="s">
        <v>201</v>
      </c>
      <c r="Z31" s="61">
        <v>0</v>
      </c>
      <c r="AA31" s="61"/>
      <c r="AB31" s="61" t="s">
        <v>202</v>
      </c>
      <c r="AC31" s="61"/>
      <c r="AD31" s="61">
        <v>0</v>
      </c>
      <c r="AE31" s="61" t="s">
        <v>203</v>
      </c>
      <c r="AF31" s="61"/>
      <c r="AG31" s="61">
        <v>1</v>
      </c>
      <c r="AH31" s="61" t="s">
        <v>263</v>
      </c>
      <c r="AI31" s="61"/>
      <c r="AJ31" s="61">
        <v>0</v>
      </c>
      <c r="AK31" s="61" t="s">
        <v>205</v>
      </c>
      <c r="AL31" s="61"/>
      <c r="AM31" s="61">
        <v>1</v>
      </c>
      <c r="AN31" s="61" t="s">
        <v>206</v>
      </c>
      <c r="AO31" s="61"/>
      <c r="AP31" s="61">
        <v>1</v>
      </c>
      <c r="AQ31" s="61" t="s">
        <v>207</v>
      </c>
      <c r="AR31" s="61"/>
      <c r="AS31" s="61">
        <v>1</v>
      </c>
      <c r="AT31" s="61" t="s">
        <v>208</v>
      </c>
      <c r="AU31" s="61"/>
      <c r="AV31" s="61">
        <v>1</v>
      </c>
      <c r="AW31" s="61" t="s">
        <v>305</v>
      </c>
      <c r="AX31" s="61"/>
      <c r="AY31" s="61">
        <v>0</v>
      </c>
      <c r="AZ31" s="61" t="s">
        <v>210</v>
      </c>
      <c r="BA31" s="61"/>
      <c r="BB31" s="61">
        <v>1</v>
      </c>
      <c r="BC31" s="61" t="s">
        <v>211</v>
      </c>
      <c r="BD31" s="61"/>
      <c r="BE31" s="61">
        <v>1</v>
      </c>
      <c r="BF31" s="61" t="s">
        <v>212</v>
      </c>
      <c r="BG31" s="61"/>
      <c r="BH31" s="61">
        <v>1</v>
      </c>
      <c r="BI31" s="61" t="s">
        <v>213</v>
      </c>
      <c r="BJ31" s="61"/>
      <c r="BK31" s="61">
        <v>1</v>
      </c>
      <c r="BL31" s="61" t="s">
        <v>214</v>
      </c>
      <c r="BM31" s="61"/>
      <c r="BN31" s="61">
        <v>1</v>
      </c>
      <c r="BO31" s="61" t="s">
        <v>215</v>
      </c>
      <c r="BP31" s="61"/>
      <c r="BQ31" s="61">
        <v>1</v>
      </c>
      <c r="BR31" s="61" t="s">
        <v>216</v>
      </c>
      <c r="BS31" s="61"/>
      <c r="BT31" s="61">
        <v>1</v>
      </c>
      <c r="BU31" s="61" t="s">
        <v>217</v>
      </c>
      <c r="BV31" s="61">
        <v>1</v>
      </c>
      <c r="BW31" s="61"/>
      <c r="BX31" s="61" t="s">
        <v>218</v>
      </c>
      <c r="BY31" s="61">
        <v>1</v>
      </c>
      <c r="BZ31" s="61"/>
      <c r="CA31" s="61" t="s">
        <v>219</v>
      </c>
      <c r="CB31" s="61">
        <v>1</v>
      </c>
      <c r="CC31" s="61"/>
      <c r="CD31" s="61" t="s">
        <v>271</v>
      </c>
      <c r="CE31" s="61">
        <v>1</v>
      </c>
      <c r="CF31" s="61"/>
      <c r="CG31" s="61" t="s">
        <v>306</v>
      </c>
      <c r="CH31" s="61">
        <v>0</v>
      </c>
      <c r="CI31" s="61"/>
      <c r="CJ31" s="61" t="s">
        <v>222</v>
      </c>
      <c r="CK31" s="61"/>
      <c r="CL31" s="61">
        <v>1</v>
      </c>
      <c r="CM31" s="61" t="s">
        <v>223</v>
      </c>
      <c r="CN31" s="61"/>
      <c r="CO31" s="61">
        <v>1</v>
      </c>
      <c r="CP31" s="61" t="s">
        <v>224</v>
      </c>
      <c r="CQ31" s="61"/>
      <c r="CR31" s="61">
        <v>1</v>
      </c>
      <c r="CS31" s="61" t="s">
        <v>225</v>
      </c>
      <c r="CT31" s="61"/>
      <c r="CU31" s="61">
        <v>1</v>
      </c>
      <c r="CV31" s="61" t="s">
        <v>226</v>
      </c>
      <c r="CW31" s="61"/>
      <c r="CX31" s="61">
        <v>1</v>
      </c>
      <c r="CY31" s="61" t="s">
        <v>227</v>
      </c>
      <c r="CZ31" s="61"/>
      <c r="DA31" s="61">
        <v>1</v>
      </c>
      <c r="DB31" s="61" t="s">
        <v>228</v>
      </c>
      <c r="DC31" s="61"/>
      <c r="DD31" s="61">
        <v>1</v>
      </c>
      <c r="DE31" s="61" t="s">
        <v>229</v>
      </c>
      <c r="DF31" s="61"/>
      <c r="DG31" s="61">
        <v>1</v>
      </c>
      <c r="DH31" s="61" t="s">
        <v>274</v>
      </c>
      <c r="DI31" s="61"/>
      <c r="DJ31" s="61">
        <v>0</v>
      </c>
      <c r="DK31" s="61" t="s">
        <v>231</v>
      </c>
      <c r="DL31" s="61"/>
      <c r="DM31" s="61">
        <v>1</v>
      </c>
      <c r="DN31" s="61" t="s">
        <v>429</v>
      </c>
      <c r="DO31" s="61"/>
      <c r="DP31" s="61">
        <v>0</v>
      </c>
      <c r="DQ31" s="61" t="s">
        <v>233</v>
      </c>
      <c r="DR31" s="61"/>
      <c r="DS31" s="61">
        <v>1</v>
      </c>
      <c r="DT31" s="61" t="s">
        <v>234</v>
      </c>
      <c r="DU31" s="61"/>
      <c r="DV31" s="61">
        <v>1</v>
      </c>
      <c r="DW31" s="61" t="s">
        <v>235</v>
      </c>
      <c r="DX31" s="61"/>
      <c r="DY31" s="61">
        <v>1</v>
      </c>
      <c r="DZ31" s="61" t="s">
        <v>275</v>
      </c>
      <c r="EA31" s="61"/>
      <c r="EB31" s="61">
        <v>0</v>
      </c>
      <c r="EC31" s="61" t="s">
        <v>339</v>
      </c>
      <c r="ED31" s="61"/>
      <c r="EE31" s="61">
        <v>0</v>
      </c>
      <c r="EF31" s="61" t="s">
        <v>276</v>
      </c>
      <c r="EG31" s="61"/>
      <c r="EH31" s="61">
        <v>0</v>
      </c>
      <c r="EI31" s="61" t="s">
        <v>239</v>
      </c>
      <c r="EJ31" s="61"/>
      <c r="EK31" s="61">
        <v>1</v>
      </c>
      <c r="EL31" s="61" t="s">
        <v>277</v>
      </c>
      <c r="EM31" s="61"/>
      <c r="EN31" s="61">
        <v>0</v>
      </c>
      <c r="EO31" s="61" t="s">
        <v>241</v>
      </c>
      <c r="EP31" s="61"/>
      <c r="EQ31" s="61">
        <v>1</v>
      </c>
      <c r="ER31" s="61" t="s">
        <v>278</v>
      </c>
      <c r="ES31" s="61"/>
      <c r="ET31" s="61">
        <v>0</v>
      </c>
      <c r="EU31" s="61" t="s">
        <v>243</v>
      </c>
      <c r="EV31" s="61"/>
      <c r="EW31" s="61">
        <v>1</v>
      </c>
      <c r="EX31" s="61" t="s">
        <v>244</v>
      </c>
      <c r="EY31" s="61"/>
      <c r="EZ31" s="61">
        <v>1</v>
      </c>
      <c r="FA31" s="61" t="s">
        <v>321</v>
      </c>
      <c r="FB31" s="61"/>
      <c r="FC31" s="61">
        <v>0</v>
      </c>
      <c r="FD31" s="61" t="s">
        <v>246</v>
      </c>
      <c r="FE31" s="61"/>
      <c r="FF31" s="61">
        <v>1</v>
      </c>
      <c r="FG31" s="61" t="s">
        <v>247</v>
      </c>
      <c r="FH31" s="61"/>
      <c r="FI31" s="61">
        <v>1</v>
      </c>
      <c r="FJ31" s="61" t="s">
        <v>310</v>
      </c>
      <c r="FK31" s="61"/>
      <c r="FL31" s="61">
        <v>0</v>
      </c>
      <c r="FM31" s="61" t="s">
        <v>311</v>
      </c>
      <c r="FN31" s="61"/>
      <c r="FO31" s="61">
        <v>0</v>
      </c>
      <c r="FP31" s="61" t="s">
        <v>250</v>
      </c>
      <c r="FQ31" s="61"/>
      <c r="FR31" s="61">
        <v>1</v>
      </c>
      <c r="FS31" s="61" t="s">
        <v>251</v>
      </c>
      <c r="FT31" s="61"/>
      <c r="FU31" s="61">
        <v>1</v>
      </c>
      <c r="FV31" s="61" t="s">
        <v>252</v>
      </c>
      <c r="FW31" s="61"/>
      <c r="FX31" s="61">
        <v>1</v>
      </c>
      <c r="FY31" s="61" t="s">
        <v>253</v>
      </c>
      <c r="FZ31" s="61"/>
      <c r="GA31" s="61">
        <v>1</v>
      </c>
      <c r="GB31" s="61" t="s">
        <v>333</v>
      </c>
      <c r="GC31" s="61"/>
      <c r="GD31" s="61">
        <v>0</v>
      </c>
      <c r="GE31" s="61" t="s">
        <v>255</v>
      </c>
      <c r="GF31" s="61"/>
      <c r="GG31" s="61">
        <v>1</v>
      </c>
      <c r="GH31" s="61" t="s">
        <v>256</v>
      </c>
      <c r="GI31" s="61"/>
      <c r="GJ31" s="61">
        <v>1</v>
      </c>
      <c r="GK31" s="61" t="s">
        <v>257</v>
      </c>
      <c r="GL31" s="61"/>
      <c r="GM31" s="61">
        <v>1</v>
      </c>
    </row>
    <row r="32" spans="1:195">
      <c r="A32" s="62">
        <v>31</v>
      </c>
      <c r="B32" s="61" t="s">
        <v>430</v>
      </c>
      <c r="C32" s="61" t="s">
        <v>431</v>
      </c>
      <c r="D32" s="61" t="s">
        <v>197</v>
      </c>
      <c r="E32" s="61"/>
      <c r="F32" s="61">
        <v>36</v>
      </c>
      <c r="G32" s="61"/>
      <c r="H32" s="61"/>
      <c r="I32" s="61"/>
      <c r="J32" s="61"/>
      <c r="K32" s="61"/>
      <c r="L32" s="65" t="s">
        <v>639</v>
      </c>
      <c r="M32" s="61" t="s">
        <v>640</v>
      </c>
      <c r="N32" s="61"/>
      <c r="O32" s="61"/>
      <c r="P32" s="61" t="s">
        <v>364</v>
      </c>
      <c r="Q32" s="61">
        <v>0</v>
      </c>
      <c r="R32" s="61"/>
      <c r="S32" s="61" t="s">
        <v>199</v>
      </c>
      <c r="T32" s="61">
        <v>1</v>
      </c>
      <c r="U32" s="61"/>
      <c r="V32" s="61" t="s">
        <v>200</v>
      </c>
      <c r="W32" s="61">
        <v>1</v>
      </c>
      <c r="X32" s="61"/>
      <c r="Y32" s="61" t="s">
        <v>201</v>
      </c>
      <c r="Z32" s="61">
        <v>0</v>
      </c>
      <c r="AA32" s="61"/>
      <c r="AB32" s="61" t="s">
        <v>336</v>
      </c>
      <c r="AC32" s="61"/>
      <c r="AD32" s="61">
        <v>0</v>
      </c>
      <c r="AE32" s="61" t="s">
        <v>203</v>
      </c>
      <c r="AF32" s="61"/>
      <c r="AG32" s="61">
        <v>1</v>
      </c>
      <c r="AH32" s="61" t="s">
        <v>263</v>
      </c>
      <c r="AI32" s="61"/>
      <c r="AJ32" s="61">
        <v>0</v>
      </c>
      <c r="AK32" s="61" t="s">
        <v>264</v>
      </c>
      <c r="AL32" s="61"/>
      <c r="AM32" s="61">
        <v>0</v>
      </c>
      <c r="AN32" s="61" t="s">
        <v>206</v>
      </c>
      <c r="AO32" s="61"/>
      <c r="AP32" s="61">
        <v>1</v>
      </c>
      <c r="AQ32" s="61" t="s">
        <v>207</v>
      </c>
      <c r="AR32" s="61"/>
      <c r="AS32" s="61">
        <v>1</v>
      </c>
      <c r="AT32" s="61" t="s">
        <v>338</v>
      </c>
      <c r="AU32" s="61"/>
      <c r="AV32" s="61">
        <v>0</v>
      </c>
      <c r="AW32" s="61" t="s">
        <v>265</v>
      </c>
      <c r="AX32" s="61"/>
      <c r="AY32" s="61">
        <v>0</v>
      </c>
      <c r="AZ32" s="61" t="s">
        <v>210</v>
      </c>
      <c r="BA32" s="61"/>
      <c r="BB32" s="61">
        <v>1</v>
      </c>
      <c r="BC32" s="61" t="s">
        <v>211</v>
      </c>
      <c r="BD32" s="61"/>
      <c r="BE32" s="61">
        <v>1</v>
      </c>
      <c r="BF32" s="61" t="s">
        <v>267</v>
      </c>
      <c r="BG32" s="61"/>
      <c r="BH32" s="61">
        <v>0</v>
      </c>
      <c r="BI32" s="61" t="s">
        <v>213</v>
      </c>
      <c r="BJ32" s="61"/>
      <c r="BK32" s="61">
        <v>1</v>
      </c>
      <c r="BL32" s="61" t="s">
        <v>214</v>
      </c>
      <c r="BM32" s="61"/>
      <c r="BN32" s="61">
        <v>1</v>
      </c>
      <c r="BO32" s="61" t="s">
        <v>215</v>
      </c>
      <c r="BP32" s="61"/>
      <c r="BQ32" s="61">
        <v>1</v>
      </c>
      <c r="BR32" s="61" t="s">
        <v>216</v>
      </c>
      <c r="BS32" s="61"/>
      <c r="BT32" s="61">
        <v>1</v>
      </c>
      <c r="BU32" s="61" t="s">
        <v>217</v>
      </c>
      <c r="BV32" s="61">
        <v>1</v>
      </c>
      <c r="BW32" s="61"/>
      <c r="BX32" s="61" t="s">
        <v>218</v>
      </c>
      <c r="BY32" s="61">
        <v>1</v>
      </c>
      <c r="BZ32" s="61"/>
      <c r="CA32" s="61" t="s">
        <v>219</v>
      </c>
      <c r="CB32" s="61">
        <v>1</v>
      </c>
      <c r="CC32" s="61"/>
      <c r="CD32" s="61" t="s">
        <v>220</v>
      </c>
      <c r="CE32" s="61">
        <v>0</v>
      </c>
      <c r="CF32" s="61"/>
      <c r="CG32" s="61" t="s">
        <v>306</v>
      </c>
      <c r="CH32" s="61">
        <v>0</v>
      </c>
      <c r="CI32" s="61"/>
      <c r="CJ32" s="61" t="s">
        <v>222</v>
      </c>
      <c r="CK32" s="61"/>
      <c r="CL32" s="61">
        <v>1</v>
      </c>
      <c r="CM32" s="61" t="s">
        <v>223</v>
      </c>
      <c r="CN32" s="61"/>
      <c r="CO32" s="61">
        <v>1</v>
      </c>
      <c r="CP32" s="61" t="s">
        <v>224</v>
      </c>
      <c r="CQ32" s="61"/>
      <c r="CR32" s="61">
        <v>1</v>
      </c>
      <c r="CS32" s="61" t="s">
        <v>225</v>
      </c>
      <c r="CT32" s="61"/>
      <c r="CU32" s="61">
        <v>1</v>
      </c>
      <c r="CV32" s="61" t="s">
        <v>226</v>
      </c>
      <c r="CW32" s="61"/>
      <c r="CX32" s="61">
        <v>1</v>
      </c>
      <c r="CY32" s="61" t="s">
        <v>227</v>
      </c>
      <c r="CZ32" s="61"/>
      <c r="DA32" s="61">
        <v>1</v>
      </c>
      <c r="DB32" s="61" t="s">
        <v>228</v>
      </c>
      <c r="DC32" s="61"/>
      <c r="DD32" s="61">
        <v>1</v>
      </c>
      <c r="DE32" s="61" t="s">
        <v>296</v>
      </c>
      <c r="DF32" s="61"/>
      <c r="DG32" s="61">
        <v>0</v>
      </c>
      <c r="DH32" s="61" t="s">
        <v>274</v>
      </c>
      <c r="DI32" s="61"/>
      <c r="DJ32" s="61">
        <v>0</v>
      </c>
      <c r="DK32" s="61" t="s">
        <v>231</v>
      </c>
      <c r="DL32" s="61"/>
      <c r="DM32" s="61">
        <v>1</v>
      </c>
      <c r="DN32" s="61" t="s">
        <v>232</v>
      </c>
      <c r="DO32" s="61"/>
      <c r="DP32" s="61">
        <v>1</v>
      </c>
      <c r="DQ32" s="61" t="s">
        <v>233</v>
      </c>
      <c r="DR32" s="61"/>
      <c r="DS32" s="61">
        <v>1</v>
      </c>
      <c r="DT32" s="61" t="s">
        <v>234</v>
      </c>
      <c r="DU32" s="61"/>
      <c r="DV32" s="61">
        <v>1</v>
      </c>
      <c r="DW32" s="61" t="s">
        <v>235</v>
      </c>
      <c r="DX32" s="61"/>
      <c r="DY32" s="61">
        <v>1</v>
      </c>
      <c r="DZ32" s="61" t="s">
        <v>236</v>
      </c>
      <c r="EA32" s="61"/>
      <c r="EB32" s="61">
        <v>1</v>
      </c>
      <c r="EC32" s="61" t="s">
        <v>237</v>
      </c>
      <c r="ED32" s="61"/>
      <c r="EE32" s="61">
        <v>1</v>
      </c>
      <c r="EF32" s="61" t="s">
        <v>354</v>
      </c>
      <c r="EG32" s="61"/>
      <c r="EH32" s="61">
        <v>0</v>
      </c>
      <c r="EI32" s="61" t="s">
        <v>239</v>
      </c>
      <c r="EJ32" s="61"/>
      <c r="EK32" s="61">
        <v>1</v>
      </c>
      <c r="EL32" s="61" t="s">
        <v>240</v>
      </c>
      <c r="EM32" s="61"/>
      <c r="EN32" s="61">
        <v>1</v>
      </c>
      <c r="EO32" s="61" t="s">
        <v>241</v>
      </c>
      <c r="EP32" s="61"/>
      <c r="EQ32" s="61">
        <v>1</v>
      </c>
      <c r="ER32" s="61" t="s">
        <v>278</v>
      </c>
      <c r="ES32" s="61"/>
      <c r="ET32" s="61">
        <v>0</v>
      </c>
      <c r="EU32" s="61" t="s">
        <v>243</v>
      </c>
      <c r="EV32" s="61"/>
      <c r="EW32" s="61">
        <v>1</v>
      </c>
      <c r="EX32" s="61" t="s">
        <v>244</v>
      </c>
      <c r="EY32" s="61"/>
      <c r="EZ32" s="61">
        <v>1</v>
      </c>
      <c r="FA32" s="61" t="s">
        <v>245</v>
      </c>
      <c r="FB32" s="61"/>
      <c r="FC32" s="61">
        <v>1</v>
      </c>
      <c r="FD32" s="61" t="s">
        <v>246</v>
      </c>
      <c r="FE32" s="61"/>
      <c r="FF32" s="61">
        <v>1</v>
      </c>
      <c r="FG32" s="61" t="s">
        <v>331</v>
      </c>
      <c r="FH32" s="61"/>
      <c r="FI32" s="61">
        <v>0</v>
      </c>
      <c r="FJ32" s="61" t="s">
        <v>354</v>
      </c>
      <c r="FK32" s="61"/>
      <c r="FL32" s="61">
        <v>0</v>
      </c>
      <c r="FM32" s="61" t="s">
        <v>311</v>
      </c>
      <c r="FN32" s="61"/>
      <c r="FO32" s="61">
        <v>0</v>
      </c>
      <c r="FP32" s="61" t="s">
        <v>250</v>
      </c>
      <c r="FQ32" s="61"/>
      <c r="FR32" s="61">
        <v>1</v>
      </c>
      <c r="FS32" s="61" t="s">
        <v>426</v>
      </c>
      <c r="FT32" s="61"/>
      <c r="FU32" s="61">
        <v>0</v>
      </c>
      <c r="FV32" s="61"/>
      <c r="FW32" s="61"/>
      <c r="FX32" s="61">
        <v>0</v>
      </c>
      <c r="FY32" s="61"/>
      <c r="FZ32" s="61"/>
      <c r="GA32" s="61">
        <v>0</v>
      </c>
      <c r="GB32" s="61"/>
      <c r="GC32" s="61"/>
      <c r="GD32" s="61">
        <v>0</v>
      </c>
      <c r="GE32" s="61"/>
      <c r="GF32" s="61"/>
      <c r="GG32" s="61">
        <v>0</v>
      </c>
      <c r="GH32" s="61"/>
      <c r="GI32" s="61"/>
      <c r="GJ32" s="61">
        <v>0</v>
      </c>
      <c r="GK32" s="61"/>
      <c r="GL32" s="61"/>
      <c r="GM32" s="61">
        <v>0</v>
      </c>
    </row>
    <row r="33" spans="1:195">
      <c r="A33" s="62">
        <v>32</v>
      </c>
      <c r="B33" s="61" t="s">
        <v>432</v>
      </c>
      <c r="C33" s="61" t="s">
        <v>433</v>
      </c>
      <c r="D33" s="61" t="s">
        <v>197</v>
      </c>
      <c r="E33" s="61"/>
      <c r="F33" s="61">
        <v>26</v>
      </c>
      <c r="G33" s="61"/>
      <c r="H33" s="61"/>
      <c r="I33" s="61"/>
      <c r="J33" s="61"/>
      <c r="K33" s="61"/>
      <c r="L33" s="65" t="s">
        <v>641</v>
      </c>
      <c r="M33" s="61" t="s">
        <v>642</v>
      </c>
      <c r="N33" s="61"/>
      <c r="O33" s="61"/>
      <c r="P33" s="61" t="s">
        <v>198</v>
      </c>
      <c r="Q33" s="61">
        <v>0</v>
      </c>
      <c r="R33" s="61"/>
      <c r="S33" s="61" t="s">
        <v>199</v>
      </c>
      <c r="T33" s="61">
        <v>1</v>
      </c>
      <c r="U33" s="61"/>
      <c r="V33" s="61" t="s">
        <v>354</v>
      </c>
      <c r="W33" s="61">
        <v>0</v>
      </c>
      <c r="X33" s="61"/>
      <c r="Y33" s="61" t="s">
        <v>354</v>
      </c>
      <c r="Z33" s="61">
        <v>0</v>
      </c>
      <c r="AA33" s="61"/>
      <c r="AB33" s="61" t="s">
        <v>290</v>
      </c>
      <c r="AC33" s="61"/>
      <c r="AD33" s="61">
        <v>1</v>
      </c>
      <c r="AE33" s="61" t="s">
        <v>354</v>
      </c>
      <c r="AF33" s="61"/>
      <c r="AG33" s="61">
        <v>0</v>
      </c>
      <c r="AH33" s="61" t="s">
        <v>354</v>
      </c>
      <c r="AI33" s="61"/>
      <c r="AJ33" s="61">
        <v>0</v>
      </c>
      <c r="AK33" s="61" t="s">
        <v>354</v>
      </c>
      <c r="AL33" s="61"/>
      <c r="AM33" s="61">
        <v>0</v>
      </c>
      <c r="AN33" s="61" t="s">
        <v>206</v>
      </c>
      <c r="AO33" s="61"/>
      <c r="AP33" s="61">
        <v>1</v>
      </c>
      <c r="AQ33" s="61" t="s">
        <v>354</v>
      </c>
      <c r="AR33" s="61"/>
      <c r="AS33" s="61">
        <v>0</v>
      </c>
      <c r="AT33" s="61" t="s">
        <v>338</v>
      </c>
      <c r="AU33" s="61"/>
      <c r="AV33" s="61">
        <v>0</v>
      </c>
      <c r="AW33" s="61" t="s">
        <v>354</v>
      </c>
      <c r="AX33" s="61"/>
      <c r="AY33" s="61">
        <v>0</v>
      </c>
      <c r="AZ33" s="61" t="s">
        <v>210</v>
      </c>
      <c r="BA33" s="61"/>
      <c r="BB33" s="61">
        <v>1</v>
      </c>
      <c r="BC33" s="61" t="s">
        <v>211</v>
      </c>
      <c r="BD33" s="61"/>
      <c r="BE33" s="61">
        <v>1</v>
      </c>
      <c r="BF33" s="61" t="s">
        <v>354</v>
      </c>
      <c r="BG33" s="61"/>
      <c r="BH33" s="61">
        <v>0</v>
      </c>
      <c r="BI33" s="61" t="s">
        <v>213</v>
      </c>
      <c r="BJ33" s="61"/>
      <c r="BK33" s="61">
        <v>1</v>
      </c>
      <c r="BL33" s="61" t="s">
        <v>214</v>
      </c>
      <c r="BM33" s="61"/>
      <c r="BN33" s="61">
        <v>1</v>
      </c>
      <c r="BO33" s="61" t="s">
        <v>354</v>
      </c>
      <c r="BP33" s="61"/>
      <c r="BQ33" s="61">
        <v>0</v>
      </c>
      <c r="BR33" s="61" t="s">
        <v>216</v>
      </c>
      <c r="BS33" s="61"/>
      <c r="BT33" s="61">
        <v>1</v>
      </c>
      <c r="BU33" s="61" t="s">
        <v>317</v>
      </c>
      <c r="BV33" s="61">
        <v>0</v>
      </c>
      <c r="BW33" s="61"/>
      <c r="BX33" s="61" t="s">
        <v>218</v>
      </c>
      <c r="BY33" s="61">
        <v>1</v>
      </c>
      <c r="BZ33" s="61"/>
      <c r="CA33" s="61" t="s">
        <v>327</v>
      </c>
      <c r="CB33" s="61">
        <v>0</v>
      </c>
      <c r="CC33" s="61"/>
      <c r="CD33" s="61" t="s">
        <v>271</v>
      </c>
      <c r="CE33" s="61">
        <v>1</v>
      </c>
      <c r="CF33" s="61"/>
      <c r="CG33" s="61" t="s">
        <v>221</v>
      </c>
      <c r="CH33" s="61">
        <v>1</v>
      </c>
      <c r="CI33" s="61"/>
      <c r="CJ33" s="61" t="s">
        <v>222</v>
      </c>
      <c r="CK33" s="61"/>
      <c r="CL33" s="61">
        <v>1</v>
      </c>
      <c r="CM33" s="61" t="s">
        <v>406</v>
      </c>
      <c r="CN33" s="61"/>
      <c r="CO33" s="61">
        <v>0</v>
      </c>
      <c r="CP33" s="61" t="s">
        <v>224</v>
      </c>
      <c r="CQ33" s="61"/>
      <c r="CR33" s="61">
        <v>1</v>
      </c>
      <c r="CS33" s="61" t="s">
        <v>225</v>
      </c>
      <c r="CT33" s="61"/>
      <c r="CU33" s="61">
        <v>1</v>
      </c>
      <c r="CV33" s="61" t="s">
        <v>226</v>
      </c>
      <c r="CW33" s="61"/>
      <c r="CX33" s="61">
        <v>1</v>
      </c>
      <c r="CY33" s="61" t="s">
        <v>227</v>
      </c>
      <c r="CZ33" s="61"/>
      <c r="DA33" s="61">
        <v>1</v>
      </c>
      <c r="DB33" s="61" t="s">
        <v>228</v>
      </c>
      <c r="DC33" s="61"/>
      <c r="DD33" s="61">
        <v>1</v>
      </c>
      <c r="DE33" s="61" t="s">
        <v>296</v>
      </c>
      <c r="DF33" s="61"/>
      <c r="DG33" s="61">
        <v>0</v>
      </c>
      <c r="DH33" s="61" t="s">
        <v>230</v>
      </c>
      <c r="DI33" s="61"/>
      <c r="DJ33" s="61">
        <v>1</v>
      </c>
      <c r="DK33" s="61" t="s">
        <v>231</v>
      </c>
      <c r="DL33" s="61"/>
      <c r="DM33" s="61">
        <v>1</v>
      </c>
      <c r="DN33" s="61" t="s">
        <v>232</v>
      </c>
      <c r="DO33" s="61"/>
      <c r="DP33" s="61">
        <v>1</v>
      </c>
      <c r="DQ33" s="61" t="s">
        <v>233</v>
      </c>
      <c r="DR33" s="61"/>
      <c r="DS33" s="61">
        <v>1</v>
      </c>
      <c r="DT33" s="61" t="s">
        <v>234</v>
      </c>
      <c r="DU33" s="61"/>
      <c r="DV33" s="61">
        <v>1</v>
      </c>
      <c r="DW33" s="61" t="s">
        <v>400</v>
      </c>
      <c r="DX33" s="61"/>
      <c r="DY33" s="61">
        <v>0</v>
      </c>
      <c r="DZ33" s="61" t="s">
        <v>354</v>
      </c>
      <c r="EA33" s="61"/>
      <c r="EB33" s="61">
        <v>0</v>
      </c>
      <c r="EC33" s="61" t="s">
        <v>354</v>
      </c>
      <c r="ED33" s="61"/>
      <c r="EE33" s="61">
        <v>0</v>
      </c>
      <c r="EF33" s="61" t="s">
        <v>354</v>
      </c>
      <c r="EG33" s="61"/>
      <c r="EH33" s="61">
        <v>0</v>
      </c>
      <c r="EI33" s="61" t="s">
        <v>354</v>
      </c>
      <c r="EJ33" s="61"/>
      <c r="EK33" s="61">
        <v>0</v>
      </c>
      <c r="EL33" s="61" t="s">
        <v>354</v>
      </c>
      <c r="EM33" s="61"/>
      <c r="EN33" s="61">
        <v>0</v>
      </c>
      <c r="EO33" s="61" t="s">
        <v>329</v>
      </c>
      <c r="EP33" s="61"/>
      <c r="EQ33" s="61">
        <v>0</v>
      </c>
      <c r="ER33" s="61" t="s">
        <v>354</v>
      </c>
      <c r="ES33" s="61"/>
      <c r="ET33" s="61">
        <v>0</v>
      </c>
      <c r="EU33" s="61" t="s">
        <v>243</v>
      </c>
      <c r="EV33" s="61"/>
      <c r="EW33" s="61">
        <v>1</v>
      </c>
      <c r="EX33" s="61" t="s">
        <v>354</v>
      </c>
      <c r="EY33" s="61"/>
      <c r="EZ33" s="61">
        <v>0</v>
      </c>
      <c r="FA33" s="61" t="s">
        <v>354</v>
      </c>
      <c r="FB33" s="61"/>
      <c r="FC33" s="61">
        <v>0</v>
      </c>
      <c r="FD33" s="61" t="s">
        <v>422</v>
      </c>
      <c r="FE33" s="61"/>
      <c r="FF33" s="61">
        <v>0</v>
      </c>
      <c r="FG33" s="61" t="s">
        <v>331</v>
      </c>
      <c r="FH33" s="61"/>
      <c r="FI33" s="61">
        <v>0</v>
      </c>
      <c r="FJ33" s="61" t="s">
        <v>354</v>
      </c>
      <c r="FK33" s="61"/>
      <c r="FL33" s="61">
        <v>0</v>
      </c>
      <c r="FM33" s="61" t="s">
        <v>354</v>
      </c>
      <c r="FN33" s="61"/>
      <c r="FO33" s="61">
        <v>0</v>
      </c>
      <c r="FP33" s="61" t="s">
        <v>250</v>
      </c>
      <c r="FQ33" s="61"/>
      <c r="FR33" s="61">
        <v>1</v>
      </c>
      <c r="FS33" s="61" t="s">
        <v>251</v>
      </c>
      <c r="FT33" s="61"/>
      <c r="FU33" s="61">
        <v>1</v>
      </c>
      <c r="FV33" s="61" t="s">
        <v>354</v>
      </c>
      <c r="FW33" s="61"/>
      <c r="FX33" s="61">
        <v>0</v>
      </c>
      <c r="FY33" s="61" t="s">
        <v>253</v>
      </c>
      <c r="FZ33" s="61"/>
      <c r="GA33" s="61">
        <v>1</v>
      </c>
      <c r="GB33" s="61" t="s">
        <v>355</v>
      </c>
      <c r="GC33" s="61"/>
      <c r="GD33" s="61">
        <v>0</v>
      </c>
      <c r="GE33" s="61" t="s">
        <v>284</v>
      </c>
      <c r="GF33" s="61"/>
      <c r="GG33" s="61">
        <v>0</v>
      </c>
      <c r="GH33" s="61" t="s">
        <v>354</v>
      </c>
      <c r="GI33" s="61"/>
      <c r="GJ33" s="61">
        <v>0</v>
      </c>
      <c r="GK33" s="61" t="s">
        <v>354</v>
      </c>
      <c r="GL33" s="61"/>
      <c r="GM33" s="61">
        <v>0</v>
      </c>
    </row>
    <row r="34" spans="1:195">
      <c r="A34" s="62">
        <v>33</v>
      </c>
      <c r="B34" s="61" t="s">
        <v>434</v>
      </c>
      <c r="C34" s="61" t="s">
        <v>435</v>
      </c>
      <c r="D34" s="61" t="s">
        <v>197</v>
      </c>
      <c r="E34" s="61"/>
      <c r="F34" s="61">
        <v>38</v>
      </c>
      <c r="G34" s="61"/>
      <c r="H34" s="61"/>
      <c r="I34" s="61"/>
      <c r="J34" s="61"/>
      <c r="K34" s="61"/>
      <c r="L34" s="65" t="s">
        <v>643</v>
      </c>
      <c r="M34" s="61" t="s">
        <v>644</v>
      </c>
      <c r="N34" s="61"/>
      <c r="O34" s="61"/>
      <c r="P34" s="61" t="s">
        <v>364</v>
      </c>
      <c r="Q34" s="61">
        <v>0</v>
      </c>
      <c r="R34" s="61"/>
      <c r="S34" s="61" t="s">
        <v>199</v>
      </c>
      <c r="T34" s="61">
        <v>1</v>
      </c>
      <c r="U34" s="61"/>
      <c r="V34" s="61" t="s">
        <v>200</v>
      </c>
      <c r="W34" s="61">
        <v>1</v>
      </c>
      <c r="X34" s="61"/>
      <c r="Y34" s="61" t="s">
        <v>325</v>
      </c>
      <c r="Z34" s="61">
        <v>0</v>
      </c>
      <c r="AA34" s="61"/>
      <c r="AB34" s="61" t="s">
        <v>290</v>
      </c>
      <c r="AC34" s="61"/>
      <c r="AD34" s="61">
        <v>1</v>
      </c>
      <c r="AE34" s="61" t="s">
        <v>337</v>
      </c>
      <c r="AF34" s="61"/>
      <c r="AG34" s="61">
        <v>0</v>
      </c>
      <c r="AH34" s="61" t="s">
        <v>204</v>
      </c>
      <c r="AI34" s="61"/>
      <c r="AJ34" s="61">
        <v>1</v>
      </c>
      <c r="AK34" s="61" t="s">
        <v>354</v>
      </c>
      <c r="AL34" s="61"/>
      <c r="AM34" s="61">
        <v>0</v>
      </c>
      <c r="AN34" s="61" t="s">
        <v>206</v>
      </c>
      <c r="AO34" s="61"/>
      <c r="AP34" s="61">
        <v>1</v>
      </c>
      <c r="AQ34" s="61" t="s">
        <v>207</v>
      </c>
      <c r="AR34" s="61"/>
      <c r="AS34" s="61">
        <v>1</v>
      </c>
      <c r="AT34" s="61" t="s">
        <v>208</v>
      </c>
      <c r="AU34" s="61"/>
      <c r="AV34" s="61">
        <v>1</v>
      </c>
      <c r="AW34" s="61" t="s">
        <v>265</v>
      </c>
      <c r="AX34" s="61"/>
      <c r="AY34" s="61">
        <v>0</v>
      </c>
      <c r="AZ34" s="61" t="s">
        <v>210</v>
      </c>
      <c r="BA34" s="61"/>
      <c r="BB34" s="61">
        <v>1</v>
      </c>
      <c r="BC34" s="61" t="s">
        <v>266</v>
      </c>
      <c r="BD34" s="61"/>
      <c r="BE34" s="61">
        <v>0</v>
      </c>
      <c r="BF34" s="61" t="s">
        <v>388</v>
      </c>
      <c r="BG34" s="61"/>
      <c r="BH34" s="61">
        <v>0</v>
      </c>
      <c r="BI34" s="61" t="s">
        <v>213</v>
      </c>
      <c r="BJ34" s="61"/>
      <c r="BK34" s="61">
        <v>1</v>
      </c>
      <c r="BL34" s="61" t="s">
        <v>436</v>
      </c>
      <c r="BM34" s="61"/>
      <c r="BN34" s="61">
        <v>0</v>
      </c>
      <c r="BO34" s="61" t="s">
        <v>215</v>
      </c>
      <c r="BP34" s="61"/>
      <c r="BQ34" s="61">
        <v>1</v>
      </c>
      <c r="BR34" s="61" t="s">
        <v>216</v>
      </c>
      <c r="BS34" s="61"/>
      <c r="BT34" s="61">
        <v>1</v>
      </c>
      <c r="BU34" s="61" t="s">
        <v>217</v>
      </c>
      <c r="BV34" s="61">
        <v>1</v>
      </c>
      <c r="BW34" s="61"/>
      <c r="BX34" s="61" t="s">
        <v>269</v>
      </c>
      <c r="BY34" s="61">
        <v>0</v>
      </c>
      <c r="BZ34" s="61"/>
      <c r="CA34" s="61" t="s">
        <v>354</v>
      </c>
      <c r="CB34" s="61">
        <v>0</v>
      </c>
      <c r="CC34" s="61"/>
      <c r="CD34" s="61" t="s">
        <v>419</v>
      </c>
      <c r="CE34" s="61">
        <v>0</v>
      </c>
      <c r="CF34" s="61"/>
      <c r="CG34" s="61" t="s">
        <v>221</v>
      </c>
      <c r="CH34" s="61">
        <v>1</v>
      </c>
      <c r="CI34" s="61"/>
      <c r="CJ34" s="61" t="s">
        <v>222</v>
      </c>
      <c r="CK34" s="61"/>
      <c r="CL34" s="61">
        <v>1</v>
      </c>
      <c r="CM34" s="61" t="s">
        <v>223</v>
      </c>
      <c r="CN34" s="61"/>
      <c r="CO34" s="61">
        <v>1</v>
      </c>
      <c r="CP34" s="61" t="s">
        <v>224</v>
      </c>
      <c r="CQ34" s="61"/>
      <c r="CR34" s="61">
        <v>1</v>
      </c>
      <c r="CS34" s="61" t="s">
        <v>225</v>
      </c>
      <c r="CT34" s="61"/>
      <c r="CU34" s="61">
        <v>1</v>
      </c>
      <c r="CV34" s="61" t="s">
        <v>226</v>
      </c>
      <c r="CW34" s="61"/>
      <c r="CX34" s="61">
        <v>1</v>
      </c>
      <c r="CY34" s="61" t="s">
        <v>227</v>
      </c>
      <c r="CZ34" s="61"/>
      <c r="DA34" s="61">
        <v>1</v>
      </c>
      <c r="DB34" s="61" t="s">
        <v>228</v>
      </c>
      <c r="DC34" s="61"/>
      <c r="DD34" s="61">
        <v>1</v>
      </c>
      <c r="DE34" s="61" t="s">
        <v>229</v>
      </c>
      <c r="DF34" s="61"/>
      <c r="DG34" s="61">
        <v>1</v>
      </c>
      <c r="DH34" s="61" t="s">
        <v>230</v>
      </c>
      <c r="DI34" s="61"/>
      <c r="DJ34" s="61">
        <v>1</v>
      </c>
      <c r="DK34" s="61" t="s">
        <v>231</v>
      </c>
      <c r="DL34" s="61"/>
      <c r="DM34" s="61">
        <v>1</v>
      </c>
      <c r="DN34" s="61" t="s">
        <v>232</v>
      </c>
      <c r="DO34" s="61"/>
      <c r="DP34" s="61">
        <v>1</v>
      </c>
      <c r="DQ34" s="61" t="s">
        <v>233</v>
      </c>
      <c r="DR34" s="61"/>
      <c r="DS34" s="61">
        <v>1</v>
      </c>
      <c r="DT34" s="61" t="s">
        <v>234</v>
      </c>
      <c r="DU34" s="61"/>
      <c r="DV34" s="61">
        <v>1</v>
      </c>
      <c r="DW34" s="61" t="s">
        <v>437</v>
      </c>
      <c r="DX34" s="61"/>
      <c r="DY34" s="61">
        <v>0</v>
      </c>
      <c r="DZ34" s="61" t="s">
        <v>275</v>
      </c>
      <c r="EA34" s="61"/>
      <c r="EB34" s="61">
        <v>0</v>
      </c>
      <c r="EC34" s="61" t="s">
        <v>237</v>
      </c>
      <c r="ED34" s="61"/>
      <c r="EE34" s="61">
        <v>1</v>
      </c>
      <c r="EF34" s="61" t="s">
        <v>238</v>
      </c>
      <c r="EG34" s="61"/>
      <c r="EH34" s="61">
        <v>1</v>
      </c>
      <c r="EI34" s="61" t="s">
        <v>239</v>
      </c>
      <c r="EJ34" s="61"/>
      <c r="EK34" s="61">
        <v>1</v>
      </c>
      <c r="EL34" s="61" t="s">
        <v>348</v>
      </c>
      <c r="EM34" s="61"/>
      <c r="EN34" s="61">
        <v>0</v>
      </c>
      <c r="EO34" s="61" t="s">
        <v>241</v>
      </c>
      <c r="EP34" s="61"/>
      <c r="EQ34" s="61">
        <v>1</v>
      </c>
      <c r="ER34" s="61" t="s">
        <v>278</v>
      </c>
      <c r="ES34" s="61"/>
      <c r="ET34" s="61">
        <v>0</v>
      </c>
      <c r="EU34" s="61" t="s">
        <v>243</v>
      </c>
      <c r="EV34" s="61"/>
      <c r="EW34" s="61">
        <v>1</v>
      </c>
      <c r="EX34" s="61" t="s">
        <v>279</v>
      </c>
      <c r="EY34" s="61"/>
      <c r="EZ34" s="61">
        <v>0</v>
      </c>
      <c r="FA34" s="61" t="s">
        <v>354</v>
      </c>
      <c r="FB34" s="61"/>
      <c r="FC34" s="61">
        <v>0</v>
      </c>
      <c r="FD34" s="61" t="s">
        <v>246</v>
      </c>
      <c r="FE34" s="61"/>
      <c r="FF34" s="61">
        <v>1</v>
      </c>
      <c r="FG34" s="61" t="s">
        <v>282</v>
      </c>
      <c r="FH34" s="61"/>
      <c r="FI34" s="61">
        <v>0</v>
      </c>
      <c r="FJ34" s="61" t="s">
        <v>298</v>
      </c>
      <c r="FK34" s="61"/>
      <c r="FL34" s="61">
        <v>1</v>
      </c>
      <c r="FM34" s="61" t="s">
        <v>311</v>
      </c>
      <c r="FN34" s="61"/>
      <c r="FO34" s="61">
        <v>0</v>
      </c>
      <c r="FP34" s="61" t="s">
        <v>250</v>
      </c>
      <c r="FQ34" s="61"/>
      <c r="FR34" s="61">
        <v>1</v>
      </c>
      <c r="FS34" s="61" t="s">
        <v>251</v>
      </c>
      <c r="FT34" s="61"/>
      <c r="FU34" s="61">
        <v>1</v>
      </c>
      <c r="FV34" s="61" t="s">
        <v>252</v>
      </c>
      <c r="FW34" s="61"/>
      <c r="FX34" s="61">
        <v>1</v>
      </c>
      <c r="FY34" s="61" t="s">
        <v>253</v>
      </c>
      <c r="FZ34" s="61"/>
      <c r="GA34" s="61">
        <v>1</v>
      </c>
      <c r="GB34" s="61" t="s">
        <v>254</v>
      </c>
      <c r="GC34" s="61"/>
      <c r="GD34" s="61">
        <v>1</v>
      </c>
      <c r="GE34" s="61" t="s">
        <v>284</v>
      </c>
      <c r="GF34" s="61"/>
      <c r="GG34" s="61">
        <v>0</v>
      </c>
      <c r="GH34" s="61" t="s">
        <v>285</v>
      </c>
      <c r="GI34" s="61"/>
      <c r="GJ34" s="61">
        <v>0</v>
      </c>
      <c r="GK34" s="61" t="s">
        <v>354</v>
      </c>
      <c r="GL34" s="61"/>
      <c r="GM34" s="61">
        <v>0</v>
      </c>
    </row>
    <row r="35" spans="1:195">
      <c r="A35" s="62">
        <v>34</v>
      </c>
      <c r="B35" s="61" t="s">
        <v>438</v>
      </c>
      <c r="C35" s="61" t="s">
        <v>439</v>
      </c>
      <c r="D35" s="61" t="s">
        <v>197</v>
      </c>
      <c r="E35" s="61"/>
      <c r="F35" s="61">
        <v>46</v>
      </c>
      <c r="G35" s="61"/>
      <c r="H35" s="61"/>
      <c r="I35" s="61"/>
      <c r="J35" s="61"/>
      <c r="K35" s="61"/>
      <c r="L35" s="65" t="s">
        <v>645</v>
      </c>
      <c r="M35" s="61" t="s">
        <v>646</v>
      </c>
      <c r="N35" s="61"/>
      <c r="O35" s="61"/>
      <c r="P35" s="61" t="s">
        <v>198</v>
      </c>
      <c r="Q35" s="61">
        <v>0</v>
      </c>
      <c r="R35" s="61"/>
      <c r="S35" s="61" t="s">
        <v>199</v>
      </c>
      <c r="T35" s="61">
        <v>1</v>
      </c>
      <c r="U35" s="61"/>
      <c r="V35" s="61" t="s">
        <v>200</v>
      </c>
      <c r="W35" s="61">
        <v>1</v>
      </c>
      <c r="X35" s="61"/>
      <c r="Y35" s="61" t="s">
        <v>201</v>
      </c>
      <c r="Z35" s="61">
        <v>0</v>
      </c>
      <c r="AA35" s="61"/>
      <c r="AB35" s="61" t="s">
        <v>336</v>
      </c>
      <c r="AC35" s="61"/>
      <c r="AD35" s="61">
        <v>0</v>
      </c>
      <c r="AE35" s="61" t="s">
        <v>262</v>
      </c>
      <c r="AF35" s="61"/>
      <c r="AG35" s="61">
        <v>0</v>
      </c>
      <c r="AH35" s="61" t="s">
        <v>303</v>
      </c>
      <c r="AI35" s="61"/>
      <c r="AJ35" s="61">
        <v>0</v>
      </c>
      <c r="AK35" s="61" t="s">
        <v>264</v>
      </c>
      <c r="AL35" s="61"/>
      <c r="AM35" s="61">
        <v>0</v>
      </c>
      <c r="AN35" s="61" t="s">
        <v>206</v>
      </c>
      <c r="AO35" s="61"/>
      <c r="AP35" s="61">
        <v>1</v>
      </c>
      <c r="AQ35" s="61" t="s">
        <v>207</v>
      </c>
      <c r="AR35" s="61"/>
      <c r="AS35" s="61">
        <v>1</v>
      </c>
      <c r="AT35" s="61" t="s">
        <v>338</v>
      </c>
      <c r="AU35" s="61"/>
      <c r="AV35" s="61">
        <v>0</v>
      </c>
      <c r="AW35" s="61" t="s">
        <v>305</v>
      </c>
      <c r="AX35" s="61"/>
      <c r="AY35" s="61">
        <v>0</v>
      </c>
      <c r="AZ35" s="61" t="s">
        <v>210</v>
      </c>
      <c r="BA35" s="61"/>
      <c r="BB35" s="61">
        <v>1</v>
      </c>
      <c r="BC35" s="61" t="s">
        <v>211</v>
      </c>
      <c r="BD35" s="61"/>
      <c r="BE35" s="61">
        <v>1</v>
      </c>
      <c r="BF35" s="61" t="s">
        <v>267</v>
      </c>
      <c r="BG35" s="61"/>
      <c r="BH35" s="61">
        <v>0</v>
      </c>
      <c r="BI35" s="61" t="s">
        <v>213</v>
      </c>
      <c r="BJ35" s="61"/>
      <c r="BK35" s="61">
        <v>1</v>
      </c>
      <c r="BL35" s="61" t="s">
        <v>214</v>
      </c>
      <c r="BM35" s="61"/>
      <c r="BN35" s="61">
        <v>1</v>
      </c>
      <c r="BO35" s="61" t="s">
        <v>215</v>
      </c>
      <c r="BP35" s="61"/>
      <c r="BQ35" s="61">
        <v>1</v>
      </c>
      <c r="BR35" s="61" t="s">
        <v>216</v>
      </c>
      <c r="BS35" s="61"/>
      <c r="BT35" s="61">
        <v>1</v>
      </c>
      <c r="BU35" s="61" t="s">
        <v>217</v>
      </c>
      <c r="BV35" s="61">
        <v>1</v>
      </c>
      <c r="BW35" s="61"/>
      <c r="BX35" s="61" t="s">
        <v>218</v>
      </c>
      <c r="BY35" s="61">
        <v>1</v>
      </c>
      <c r="BZ35" s="61"/>
      <c r="CA35" s="61" t="s">
        <v>219</v>
      </c>
      <c r="CB35" s="61">
        <v>1</v>
      </c>
      <c r="CC35" s="61"/>
      <c r="CD35" s="61" t="s">
        <v>271</v>
      </c>
      <c r="CE35" s="61">
        <v>1</v>
      </c>
      <c r="CF35" s="61"/>
      <c r="CG35" s="61" t="s">
        <v>221</v>
      </c>
      <c r="CH35" s="61">
        <v>1</v>
      </c>
      <c r="CI35" s="61"/>
      <c r="CJ35" s="61" t="s">
        <v>222</v>
      </c>
      <c r="CK35" s="61"/>
      <c r="CL35" s="61">
        <v>1</v>
      </c>
      <c r="CM35" s="61" t="s">
        <v>223</v>
      </c>
      <c r="CN35" s="61"/>
      <c r="CO35" s="61">
        <v>1</v>
      </c>
      <c r="CP35" s="61" t="s">
        <v>224</v>
      </c>
      <c r="CQ35" s="61"/>
      <c r="CR35" s="61">
        <v>1</v>
      </c>
      <c r="CS35" s="61" t="s">
        <v>225</v>
      </c>
      <c r="CT35" s="61"/>
      <c r="CU35" s="61">
        <v>1</v>
      </c>
      <c r="CV35" s="61" t="s">
        <v>226</v>
      </c>
      <c r="CW35" s="61"/>
      <c r="CX35" s="61">
        <v>1</v>
      </c>
      <c r="CY35" s="61" t="s">
        <v>227</v>
      </c>
      <c r="CZ35" s="61"/>
      <c r="DA35" s="61">
        <v>1</v>
      </c>
      <c r="DB35" s="61" t="s">
        <v>228</v>
      </c>
      <c r="DC35" s="61"/>
      <c r="DD35" s="61">
        <v>1</v>
      </c>
      <c r="DE35" s="61" t="s">
        <v>229</v>
      </c>
      <c r="DF35" s="61"/>
      <c r="DG35" s="61">
        <v>1</v>
      </c>
      <c r="DH35" s="61" t="s">
        <v>230</v>
      </c>
      <c r="DI35" s="61"/>
      <c r="DJ35" s="61">
        <v>1</v>
      </c>
      <c r="DK35" s="61" t="s">
        <v>231</v>
      </c>
      <c r="DL35" s="61"/>
      <c r="DM35" s="61">
        <v>1</v>
      </c>
      <c r="DN35" s="61" t="s">
        <v>232</v>
      </c>
      <c r="DO35" s="61"/>
      <c r="DP35" s="61">
        <v>1</v>
      </c>
      <c r="DQ35" s="61" t="s">
        <v>233</v>
      </c>
      <c r="DR35" s="61"/>
      <c r="DS35" s="61">
        <v>1</v>
      </c>
      <c r="DT35" s="61" t="s">
        <v>234</v>
      </c>
      <c r="DU35" s="61"/>
      <c r="DV35" s="61">
        <v>1</v>
      </c>
      <c r="DW35" s="61" t="s">
        <v>235</v>
      </c>
      <c r="DX35" s="61"/>
      <c r="DY35" s="61">
        <v>1</v>
      </c>
      <c r="DZ35" s="61" t="s">
        <v>236</v>
      </c>
      <c r="EA35" s="61"/>
      <c r="EB35" s="61">
        <v>1</v>
      </c>
      <c r="EC35" s="61" t="s">
        <v>237</v>
      </c>
      <c r="ED35" s="61"/>
      <c r="EE35" s="61">
        <v>1</v>
      </c>
      <c r="EF35" s="61" t="s">
        <v>238</v>
      </c>
      <c r="EG35" s="61"/>
      <c r="EH35" s="61">
        <v>1</v>
      </c>
      <c r="EI35" s="61" t="s">
        <v>239</v>
      </c>
      <c r="EJ35" s="61"/>
      <c r="EK35" s="61">
        <v>1</v>
      </c>
      <c r="EL35" s="61" t="s">
        <v>240</v>
      </c>
      <c r="EM35" s="61"/>
      <c r="EN35" s="61">
        <v>1</v>
      </c>
      <c r="EO35" s="61" t="s">
        <v>241</v>
      </c>
      <c r="EP35" s="61"/>
      <c r="EQ35" s="61">
        <v>1</v>
      </c>
      <c r="ER35" s="61" t="s">
        <v>278</v>
      </c>
      <c r="ES35" s="61"/>
      <c r="ET35" s="61">
        <v>0</v>
      </c>
      <c r="EU35" s="61" t="s">
        <v>243</v>
      </c>
      <c r="EV35" s="61"/>
      <c r="EW35" s="61">
        <v>1</v>
      </c>
      <c r="EX35" s="61" t="s">
        <v>244</v>
      </c>
      <c r="EY35" s="61"/>
      <c r="EZ35" s="61">
        <v>1</v>
      </c>
      <c r="FA35" s="61" t="s">
        <v>245</v>
      </c>
      <c r="FB35" s="61"/>
      <c r="FC35" s="61">
        <v>1</v>
      </c>
      <c r="FD35" s="61" t="s">
        <v>246</v>
      </c>
      <c r="FE35" s="61"/>
      <c r="FF35" s="61">
        <v>1</v>
      </c>
      <c r="FG35" s="61" t="s">
        <v>440</v>
      </c>
      <c r="FH35" s="61"/>
      <c r="FI35" s="61">
        <v>0</v>
      </c>
      <c r="FJ35" s="61" t="s">
        <v>298</v>
      </c>
      <c r="FK35" s="61"/>
      <c r="FL35" s="61">
        <v>1</v>
      </c>
      <c r="FM35" s="61" t="s">
        <v>249</v>
      </c>
      <c r="FN35" s="61"/>
      <c r="FO35" s="61">
        <v>1</v>
      </c>
      <c r="FP35" s="61" t="s">
        <v>250</v>
      </c>
      <c r="FQ35" s="61"/>
      <c r="FR35" s="61">
        <v>1</v>
      </c>
      <c r="FS35" s="61" t="s">
        <v>251</v>
      </c>
      <c r="FT35" s="61"/>
      <c r="FU35" s="61">
        <v>1</v>
      </c>
      <c r="FV35" s="61" t="s">
        <v>252</v>
      </c>
      <c r="FW35" s="61"/>
      <c r="FX35" s="61">
        <v>1</v>
      </c>
      <c r="FY35" s="61" t="s">
        <v>253</v>
      </c>
      <c r="FZ35" s="61"/>
      <c r="GA35" s="61">
        <v>1</v>
      </c>
      <c r="GB35" s="61" t="s">
        <v>254</v>
      </c>
      <c r="GC35" s="61"/>
      <c r="GD35" s="61">
        <v>1</v>
      </c>
      <c r="GE35" s="61"/>
      <c r="GF35" s="61"/>
      <c r="GG35" s="61">
        <v>0</v>
      </c>
      <c r="GH35" s="61"/>
      <c r="GI35" s="61"/>
      <c r="GJ35" s="61">
        <v>0</v>
      </c>
      <c r="GK35" s="61"/>
      <c r="GL35" s="61"/>
      <c r="GM35" s="61">
        <v>0</v>
      </c>
    </row>
    <row r="36" spans="1:195">
      <c r="A36" s="62">
        <v>35</v>
      </c>
      <c r="B36" s="61" t="s">
        <v>441</v>
      </c>
      <c r="C36" s="61" t="s">
        <v>442</v>
      </c>
      <c r="D36" s="61" t="s">
        <v>197</v>
      </c>
      <c r="E36" s="61"/>
      <c r="F36" s="61">
        <v>45</v>
      </c>
      <c r="G36" s="61"/>
      <c r="H36" s="61"/>
      <c r="I36" s="61"/>
      <c r="J36" s="61"/>
      <c r="K36" s="61"/>
      <c r="L36" s="65" t="s">
        <v>647</v>
      </c>
      <c r="M36" s="61" t="s">
        <v>648</v>
      </c>
      <c r="N36" s="61"/>
      <c r="O36" s="61"/>
      <c r="P36" s="61" t="s">
        <v>358</v>
      </c>
      <c r="Q36" s="61">
        <v>0</v>
      </c>
      <c r="R36" s="61"/>
      <c r="S36" s="61" t="s">
        <v>199</v>
      </c>
      <c r="T36" s="61">
        <v>1</v>
      </c>
      <c r="U36" s="61"/>
      <c r="V36" s="61" t="s">
        <v>200</v>
      </c>
      <c r="W36" s="61">
        <v>1</v>
      </c>
      <c r="X36" s="61"/>
      <c r="Y36" s="61" t="s">
        <v>201</v>
      </c>
      <c r="Z36" s="61">
        <v>0</v>
      </c>
      <c r="AA36" s="61"/>
      <c r="AB36" s="61" t="s">
        <v>290</v>
      </c>
      <c r="AC36" s="61"/>
      <c r="AD36" s="61">
        <v>1</v>
      </c>
      <c r="AE36" s="61" t="s">
        <v>262</v>
      </c>
      <c r="AF36" s="61"/>
      <c r="AG36" s="61">
        <v>0</v>
      </c>
      <c r="AH36" s="61" t="s">
        <v>204</v>
      </c>
      <c r="AI36" s="61"/>
      <c r="AJ36" s="61">
        <v>1</v>
      </c>
      <c r="AK36" s="61" t="s">
        <v>409</v>
      </c>
      <c r="AL36" s="61"/>
      <c r="AM36" s="61">
        <v>0</v>
      </c>
      <c r="AN36" s="61" t="s">
        <v>206</v>
      </c>
      <c r="AO36" s="61"/>
      <c r="AP36" s="61">
        <v>1</v>
      </c>
      <c r="AQ36" s="61" t="s">
        <v>207</v>
      </c>
      <c r="AR36" s="61"/>
      <c r="AS36" s="61">
        <v>1</v>
      </c>
      <c r="AT36" s="61" t="s">
        <v>338</v>
      </c>
      <c r="AU36" s="61"/>
      <c r="AV36" s="61">
        <v>0</v>
      </c>
      <c r="AW36" s="61" t="s">
        <v>293</v>
      </c>
      <c r="AX36" s="61"/>
      <c r="AY36" s="61">
        <v>0</v>
      </c>
      <c r="AZ36" s="61" t="s">
        <v>404</v>
      </c>
      <c r="BA36" s="61"/>
      <c r="BB36" s="61">
        <v>0</v>
      </c>
      <c r="BC36" s="61" t="s">
        <v>211</v>
      </c>
      <c r="BD36" s="61"/>
      <c r="BE36" s="61">
        <v>1</v>
      </c>
      <c r="BF36" s="61" t="s">
        <v>267</v>
      </c>
      <c r="BG36" s="61"/>
      <c r="BH36" s="61">
        <v>0</v>
      </c>
      <c r="BI36" s="61" t="s">
        <v>213</v>
      </c>
      <c r="BJ36" s="61"/>
      <c r="BK36" s="61">
        <v>1</v>
      </c>
      <c r="BL36" s="61" t="s">
        <v>214</v>
      </c>
      <c r="BM36" s="61"/>
      <c r="BN36" s="61">
        <v>1</v>
      </c>
      <c r="BO36" s="61" t="s">
        <v>215</v>
      </c>
      <c r="BP36" s="61"/>
      <c r="BQ36" s="61">
        <v>1</v>
      </c>
      <c r="BR36" s="61" t="s">
        <v>216</v>
      </c>
      <c r="BS36" s="61"/>
      <c r="BT36" s="61">
        <v>1</v>
      </c>
      <c r="BU36" s="61" t="s">
        <v>317</v>
      </c>
      <c r="BV36" s="61">
        <v>0</v>
      </c>
      <c r="BW36" s="61"/>
      <c r="BX36" s="61" t="s">
        <v>218</v>
      </c>
      <c r="BY36" s="61">
        <v>1</v>
      </c>
      <c r="BZ36" s="61"/>
      <c r="CA36" s="61" t="s">
        <v>219</v>
      </c>
      <c r="CB36" s="61">
        <v>1</v>
      </c>
      <c r="CC36" s="61"/>
      <c r="CD36" s="61" t="s">
        <v>220</v>
      </c>
      <c r="CE36" s="61">
        <v>0</v>
      </c>
      <c r="CF36" s="61"/>
      <c r="CG36" s="61" t="s">
        <v>221</v>
      </c>
      <c r="CH36" s="61">
        <v>1</v>
      </c>
      <c r="CI36" s="61"/>
      <c r="CJ36" s="61" t="s">
        <v>222</v>
      </c>
      <c r="CK36" s="61"/>
      <c r="CL36" s="61">
        <v>1</v>
      </c>
      <c r="CM36" s="61" t="s">
        <v>223</v>
      </c>
      <c r="CN36" s="61"/>
      <c r="CO36" s="61">
        <v>1</v>
      </c>
      <c r="CP36" s="61" t="s">
        <v>224</v>
      </c>
      <c r="CQ36" s="61"/>
      <c r="CR36" s="61">
        <v>1</v>
      </c>
      <c r="CS36" s="61" t="s">
        <v>225</v>
      </c>
      <c r="CT36" s="61"/>
      <c r="CU36" s="61">
        <v>1</v>
      </c>
      <c r="CV36" s="61" t="s">
        <v>226</v>
      </c>
      <c r="CW36" s="61"/>
      <c r="CX36" s="61">
        <v>1</v>
      </c>
      <c r="CY36" s="61" t="s">
        <v>227</v>
      </c>
      <c r="CZ36" s="61"/>
      <c r="DA36" s="61">
        <v>1</v>
      </c>
      <c r="DB36" s="61" t="s">
        <v>228</v>
      </c>
      <c r="DC36" s="61"/>
      <c r="DD36" s="61">
        <v>1</v>
      </c>
      <c r="DE36" s="61" t="s">
        <v>229</v>
      </c>
      <c r="DF36" s="61"/>
      <c r="DG36" s="61">
        <v>1</v>
      </c>
      <c r="DH36" s="61" t="s">
        <v>230</v>
      </c>
      <c r="DI36" s="61"/>
      <c r="DJ36" s="61">
        <v>1</v>
      </c>
      <c r="DK36" s="61" t="s">
        <v>231</v>
      </c>
      <c r="DL36" s="61"/>
      <c r="DM36" s="61">
        <v>1</v>
      </c>
      <c r="DN36" s="61" t="s">
        <v>232</v>
      </c>
      <c r="DO36" s="61"/>
      <c r="DP36" s="61">
        <v>1</v>
      </c>
      <c r="DQ36" s="61" t="s">
        <v>347</v>
      </c>
      <c r="DR36" s="61"/>
      <c r="DS36" s="61">
        <v>0</v>
      </c>
      <c r="DT36" s="61" t="s">
        <v>234</v>
      </c>
      <c r="DU36" s="61"/>
      <c r="DV36" s="61">
        <v>1</v>
      </c>
      <c r="DW36" s="61" t="s">
        <v>235</v>
      </c>
      <c r="DX36" s="61"/>
      <c r="DY36" s="61">
        <v>1</v>
      </c>
      <c r="DZ36" s="61" t="s">
        <v>328</v>
      </c>
      <c r="EA36" s="61"/>
      <c r="EB36" s="61">
        <v>0</v>
      </c>
      <c r="EC36" s="61" t="s">
        <v>237</v>
      </c>
      <c r="ED36" s="61"/>
      <c r="EE36" s="61">
        <v>1</v>
      </c>
      <c r="EF36" s="61" t="s">
        <v>238</v>
      </c>
      <c r="EG36" s="61"/>
      <c r="EH36" s="61">
        <v>1</v>
      </c>
      <c r="EI36" s="61" t="s">
        <v>239</v>
      </c>
      <c r="EJ36" s="61"/>
      <c r="EK36" s="61">
        <v>1</v>
      </c>
      <c r="EL36" s="61" t="s">
        <v>348</v>
      </c>
      <c r="EM36" s="61"/>
      <c r="EN36" s="61">
        <v>0</v>
      </c>
      <c r="EO36" s="61" t="s">
        <v>241</v>
      </c>
      <c r="EP36" s="61"/>
      <c r="EQ36" s="61">
        <v>1</v>
      </c>
      <c r="ER36" s="61" t="s">
        <v>242</v>
      </c>
      <c r="ES36" s="61"/>
      <c r="ET36" s="61">
        <v>1</v>
      </c>
      <c r="EU36" s="61" t="s">
        <v>243</v>
      </c>
      <c r="EV36" s="61"/>
      <c r="EW36" s="61">
        <v>1</v>
      </c>
      <c r="EX36" s="61" t="s">
        <v>244</v>
      </c>
      <c r="EY36" s="61"/>
      <c r="EZ36" s="61">
        <v>1</v>
      </c>
      <c r="FA36" s="61" t="s">
        <v>321</v>
      </c>
      <c r="FB36" s="61"/>
      <c r="FC36" s="61">
        <v>0</v>
      </c>
      <c r="FD36" s="61" t="s">
        <v>246</v>
      </c>
      <c r="FE36" s="61"/>
      <c r="FF36" s="61">
        <v>1</v>
      </c>
      <c r="FG36" s="61" t="s">
        <v>247</v>
      </c>
      <c r="FH36" s="61"/>
      <c r="FI36" s="61">
        <v>1</v>
      </c>
      <c r="FJ36" s="61" t="s">
        <v>298</v>
      </c>
      <c r="FK36" s="61"/>
      <c r="FL36" s="61">
        <v>1</v>
      </c>
      <c r="FM36" s="61" t="s">
        <v>249</v>
      </c>
      <c r="FN36" s="61"/>
      <c r="FO36" s="61">
        <v>1</v>
      </c>
      <c r="FP36" s="61" t="s">
        <v>250</v>
      </c>
      <c r="FQ36" s="61"/>
      <c r="FR36" s="61">
        <v>1</v>
      </c>
      <c r="FS36" s="61" t="s">
        <v>251</v>
      </c>
      <c r="FT36" s="61"/>
      <c r="FU36" s="61">
        <v>1</v>
      </c>
      <c r="FV36" s="61" t="s">
        <v>252</v>
      </c>
      <c r="FW36" s="61"/>
      <c r="FX36" s="61">
        <v>1</v>
      </c>
      <c r="FY36" s="61" t="s">
        <v>253</v>
      </c>
      <c r="FZ36" s="61"/>
      <c r="GA36" s="61">
        <v>1</v>
      </c>
      <c r="GB36" s="61" t="s">
        <v>254</v>
      </c>
      <c r="GC36" s="61"/>
      <c r="GD36" s="61">
        <v>1</v>
      </c>
      <c r="GE36" s="61" t="s">
        <v>255</v>
      </c>
      <c r="GF36" s="61"/>
      <c r="GG36" s="61">
        <v>1</v>
      </c>
      <c r="GH36" s="61" t="s">
        <v>256</v>
      </c>
      <c r="GI36" s="61"/>
      <c r="GJ36" s="61">
        <v>1</v>
      </c>
      <c r="GK36" s="61"/>
      <c r="GL36" s="61"/>
      <c r="GM36" s="61">
        <v>0</v>
      </c>
    </row>
    <row r="37" spans="1:195">
      <c r="A37" s="62">
        <v>36</v>
      </c>
      <c r="B37" s="61" t="s">
        <v>443</v>
      </c>
      <c r="C37" s="61" t="s">
        <v>444</v>
      </c>
      <c r="D37" s="61" t="s">
        <v>197</v>
      </c>
      <c r="E37" s="61"/>
      <c r="F37" s="61">
        <v>50</v>
      </c>
      <c r="G37" s="61"/>
      <c r="H37" s="61"/>
      <c r="I37" s="61"/>
      <c r="J37" s="61"/>
      <c r="K37" s="61"/>
      <c r="L37" s="65" t="s">
        <v>649</v>
      </c>
      <c r="M37" s="61" t="s">
        <v>650</v>
      </c>
      <c r="N37" s="61"/>
      <c r="O37" s="61"/>
      <c r="P37" s="61" t="s">
        <v>260</v>
      </c>
      <c r="Q37" s="61">
        <v>1</v>
      </c>
      <c r="R37" s="61"/>
      <c r="S37" s="61" t="s">
        <v>199</v>
      </c>
      <c r="T37" s="61">
        <v>1</v>
      </c>
      <c r="U37" s="61"/>
      <c r="V37" s="61" t="s">
        <v>302</v>
      </c>
      <c r="W37" s="61">
        <v>0</v>
      </c>
      <c r="X37" s="61"/>
      <c r="Y37" s="61" t="s">
        <v>261</v>
      </c>
      <c r="Z37" s="61">
        <v>1</v>
      </c>
      <c r="AA37" s="61"/>
      <c r="AB37" s="61" t="s">
        <v>290</v>
      </c>
      <c r="AC37" s="61"/>
      <c r="AD37" s="61">
        <v>1</v>
      </c>
      <c r="AE37" s="61" t="s">
        <v>203</v>
      </c>
      <c r="AF37" s="61"/>
      <c r="AG37" s="61">
        <v>1</v>
      </c>
      <c r="AH37" s="61" t="s">
        <v>204</v>
      </c>
      <c r="AI37" s="61"/>
      <c r="AJ37" s="61">
        <v>1</v>
      </c>
      <c r="AK37" s="61" t="s">
        <v>264</v>
      </c>
      <c r="AL37" s="61"/>
      <c r="AM37" s="61">
        <v>0</v>
      </c>
      <c r="AN37" s="61" t="s">
        <v>206</v>
      </c>
      <c r="AO37" s="61"/>
      <c r="AP37" s="61">
        <v>1</v>
      </c>
      <c r="AQ37" s="61" t="s">
        <v>207</v>
      </c>
      <c r="AR37" s="61"/>
      <c r="AS37" s="61">
        <v>1</v>
      </c>
      <c r="AT37" s="61" t="s">
        <v>208</v>
      </c>
      <c r="AU37" s="61"/>
      <c r="AV37" s="61">
        <v>1</v>
      </c>
      <c r="AW37" s="61" t="s">
        <v>209</v>
      </c>
      <c r="AX37" s="61"/>
      <c r="AY37" s="61">
        <v>1</v>
      </c>
      <c r="AZ37" s="61" t="s">
        <v>210</v>
      </c>
      <c r="BA37" s="61"/>
      <c r="BB37" s="61">
        <v>1</v>
      </c>
      <c r="BC37" s="61" t="s">
        <v>211</v>
      </c>
      <c r="BD37" s="61"/>
      <c r="BE37" s="61">
        <v>1</v>
      </c>
      <c r="BF37" s="61" t="s">
        <v>212</v>
      </c>
      <c r="BG37" s="61"/>
      <c r="BH37" s="61">
        <v>1</v>
      </c>
      <c r="BI37" s="61" t="s">
        <v>213</v>
      </c>
      <c r="BJ37" s="61"/>
      <c r="BK37" s="61">
        <v>1</v>
      </c>
      <c r="BL37" s="61" t="s">
        <v>214</v>
      </c>
      <c r="BM37" s="61"/>
      <c r="BN37" s="61">
        <v>1</v>
      </c>
      <c r="BO37" s="61" t="s">
        <v>215</v>
      </c>
      <c r="BP37" s="61"/>
      <c r="BQ37" s="61">
        <v>1</v>
      </c>
      <c r="BR37" s="61" t="s">
        <v>216</v>
      </c>
      <c r="BS37" s="61"/>
      <c r="BT37" s="61">
        <v>1</v>
      </c>
      <c r="BU37" s="61" t="s">
        <v>217</v>
      </c>
      <c r="BV37" s="61">
        <v>1</v>
      </c>
      <c r="BW37" s="61"/>
      <c r="BX37" s="61" t="s">
        <v>218</v>
      </c>
      <c r="BY37" s="61">
        <v>1</v>
      </c>
      <c r="BZ37" s="61"/>
      <c r="CA37" s="61" t="s">
        <v>219</v>
      </c>
      <c r="CB37" s="61">
        <v>1</v>
      </c>
      <c r="CC37" s="61"/>
      <c r="CD37" s="61" t="s">
        <v>271</v>
      </c>
      <c r="CE37" s="61">
        <v>1</v>
      </c>
      <c r="CF37" s="61"/>
      <c r="CG37" s="61" t="s">
        <v>221</v>
      </c>
      <c r="CH37" s="61">
        <v>1</v>
      </c>
      <c r="CI37" s="61"/>
      <c r="CJ37" s="61" t="s">
        <v>222</v>
      </c>
      <c r="CK37" s="61"/>
      <c r="CL37" s="61">
        <v>1</v>
      </c>
      <c r="CM37" s="61" t="s">
        <v>223</v>
      </c>
      <c r="CN37" s="61"/>
      <c r="CO37" s="61">
        <v>1</v>
      </c>
      <c r="CP37" s="61" t="s">
        <v>224</v>
      </c>
      <c r="CQ37" s="61"/>
      <c r="CR37" s="61">
        <v>1</v>
      </c>
      <c r="CS37" s="61" t="s">
        <v>225</v>
      </c>
      <c r="CT37" s="61"/>
      <c r="CU37" s="61">
        <v>1</v>
      </c>
      <c r="CV37" s="61" t="s">
        <v>226</v>
      </c>
      <c r="CW37" s="61"/>
      <c r="CX37" s="61">
        <v>1</v>
      </c>
      <c r="CY37" s="61" t="s">
        <v>227</v>
      </c>
      <c r="CZ37" s="61"/>
      <c r="DA37" s="61">
        <v>1</v>
      </c>
      <c r="DB37" s="61" t="s">
        <v>228</v>
      </c>
      <c r="DC37" s="61"/>
      <c r="DD37" s="61">
        <v>1</v>
      </c>
      <c r="DE37" s="61" t="s">
        <v>229</v>
      </c>
      <c r="DF37" s="61"/>
      <c r="DG37" s="61">
        <v>1</v>
      </c>
      <c r="DH37" s="61" t="s">
        <v>230</v>
      </c>
      <c r="DI37" s="61"/>
      <c r="DJ37" s="61">
        <v>1</v>
      </c>
      <c r="DK37" s="61" t="s">
        <v>231</v>
      </c>
      <c r="DL37" s="61"/>
      <c r="DM37" s="61">
        <v>1</v>
      </c>
      <c r="DN37" s="61" t="s">
        <v>232</v>
      </c>
      <c r="DO37" s="61"/>
      <c r="DP37" s="61">
        <v>1</v>
      </c>
      <c r="DQ37" s="61" t="s">
        <v>233</v>
      </c>
      <c r="DR37" s="61"/>
      <c r="DS37" s="61">
        <v>1</v>
      </c>
      <c r="DT37" s="61" t="s">
        <v>234</v>
      </c>
      <c r="DU37" s="61"/>
      <c r="DV37" s="61">
        <v>1</v>
      </c>
      <c r="DW37" s="61" t="s">
        <v>235</v>
      </c>
      <c r="DX37" s="61"/>
      <c r="DY37" s="61">
        <v>1</v>
      </c>
      <c r="DZ37" s="61" t="s">
        <v>236</v>
      </c>
      <c r="EA37" s="61"/>
      <c r="EB37" s="61">
        <v>1</v>
      </c>
      <c r="EC37" s="61" t="s">
        <v>237</v>
      </c>
      <c r="ED37" s="61"/>
      <c r="EE37" s="61">
        <v>1</v>
      </c>
      <c r="EF37" s="61" t="s">
        <v>238</v>
      </c>
      <c r="EG37" s="61"/>
      <c r="EH37" s="61">
        <v>1</v>
      </c>
      <c r="EI37" s="61" t="s">
        <v>239</v>
      </c>
      <c r="EJ37" s="61"/>
      <c r="EK37" s="61">
        <v>1</v>
      </c>
      <c r="EL37" s="61" t="s">
        <v>348</v>
      </c>
      <c r="EM37" s="61"/>
      <c r="EN37" s="61">
        <v>0</v>
      </c>
      <c r="EO37" s="61" t="s">
        <v>241</v>
      </c>
      <c r="EP37" s="61"/>
      <c r="EQ37" s="61">
        <v>1</v>
      </c>
      <c r="ER37" s="61" t="s">
        <v>278</v>
      </c>
      <c r="ES37" s="61"/>
      <c r="ET37" s="61">
        <v>0</v>
      </c>
      <c r="EU37" s="61" t="s">
        <v>243</v>
      </c>
      <c r="EV37" s="61"/>
      <c r="EW37" s="61">
        <v>1</v>
      </c>
      <c r="EX37" s="61" t="s">
        <v>340</v>
      </c>
      <c r="EY37" s="61"/>
      <c r="EZ37" s="61">
        <v>0</v>
      </c>
      <c r="FA37" s="61" t="s">
        <v>280</v>
      </c>
      <c r="FB37" s="61"/>
      <c r="FC37" s="61">
        <v>0</v>
      </c>
      <c r="FD37" s="61" t="s">
        <v>246</v>
      </c>
      <c r="FE37" s="61"/>
      <c r="FF37" s="61">
        <v>1</v>
      </c>
      <c r="FG37" s="61" t="s">
        <v>282</v>
      </c>
      <c r="FH37" s="61"/>
      <c r="FI37" s="61">
        <v>0</v>
      </c>
      <c r="FJ37" s="61" t="s">
        <v>248</v>
      </c>
      <c r="FK37" s="61"/>
      <c r="FL37" s="61">
        <v>0</v>
      </c>
      <c r="FM37" s="61" t="s">
        <v>311</v>
      </c>
      <c r="FN37" s="61"/>
      <c r="FO37" s="61">
        <v>0</v>
      </c>
      <c r="FP37" s="61" t="s">
        <v>250</v>
      </c>
      <c r="FQ37" s="61"/>
      <c r="FR37" s="61">
        <v>1</v>
      </c>
      <c r="FS37" s="61" t="s">
        <v>251</v>
      </c>
      <c r="FT37" s="61"/>
      <c r="FU37" s="61">
        <v>1</v>
      </c>
      <c r="FV37" s="61" t="s">
        <v>252</v>
      </c>
      <c r="FW37" s="61"/>
      <c r="FX37" s="61">
        <v>1</v>
      </c>
      <c r="FY37" s="61" t="s">
        <v>253</v>
      </c>
      <c r="FZ37" s="61"/>
      <c r="GA37" s="61">
        <v>1</v>
      </c>
      <c r="GB37" s="61" t="s">
        <v>254</v>
      </c>
      <c r="GC37" s="61"/>
      <c r="GD37" s="61">
        <v>1</v>
      </c>
      <c r="GE37" s="61" t="s">
        <v>255</v>
      </c>
      <c r="GF37" s="61"/>
      <c r="GG37" s="61">
        <v>1</v>
      </c>
      <c r="GH37" s="61" t="s">
        <v>256</v>
      </c>
      <c r="GI37" s="61"/>
      <c r="GJ37" s="61">
        <v>1</v>
      </c>
      <c r="GK37" s="61" t="s">
        <v>286</v>
      </c>
      <c r="GL37" s="61"/>
      <c r="GM37" s="61">
        <v>0</v>
      </c>
    </row>
    <row r="38" spans="1:195">
      <c r="A38" s="62">
        <v>37</v>
      </c>
      <c r="B38" s="61" t="s">
        <v>445</v>
      </c>
      <c r="C38" s="61" t="s">
        <v>446</v>
      </c>
      <c r="D38" s="61" t="s">
        <v>197</v>
      </c>
      <c r="E38" s="61"/>
      <c r="F38" s="61">
        <v>43</v>
      </c>
      <c r="G38" s="61"/>
      <c r="H38" s="61"/>
      <c r="I38" s="61"/>
      <c r="J38" s="61"/>
      <c r="K38" s="61"/>
      <c r="L38" s="65" t="s">
        <v>651</v>
      </c>
      <c r="M38" s="61" t="s">
        <v>652</v>
      </c>
      <c r="N38" s="61"/>
      <c r="O38" s="61"/>
      <c r="P38" s="61" t="s">
        <v>260</v>
      </c>
      <c r="Q38" s="61">
        <v>1</v>
      </c>
      <c r="R38" s="61"/>
      <c r="S38" s="61" t="s">
        <v>199</v>
      </c>
      <c r="T38" s="61">
        <v>1</v>
      </c>
      <c r="U38" s="61"/>
      <c r="V38" s="61" t="s">
        <v>302</v>
      </c>
      <c r="W38" s="61">
        <v>0</v>
      </c>
      <c r="X38" s="61"/>
      <c r="Y38" s="61" t="s">
        <v>261</v>
      </c>
      <c r="Z38" s="61">
        <v>1</v>
      </c>
      <c r="AA38" s="61"/>
      <c r="AB38" s="61" t="s">
        <v>290</v>
      </c>
      <c r="AC38" s="61"/>
      <c r="AD38" s="61">
        <v>1</v>
      </c>
      <c r="AE38" s="61" t="s">
        <v>326</v>
      </c>
      <c r="AF38" s="61"/>
      <c r="AG38" s="61">
        <v>0</v>
      </c>
      <c r="AH38" s="61" t="s">
        <v>204</v>
      </c>
      <c r="AI38" s="61"/>
      <c r="AJ38" s="61">
        <v>1</v>
      </c>
      <c r="AK38" s="61" t="s">
        <v>205</v>
      </c>
      <c r="AL38" s="61"/>
      <c r="AM38" s="61">
        <v>1</v>
      </c>
      <c r="AN38" s="61" t="s">
        <v>291</v>
      </c>
      <c r="AO38" s="61"/>
      <c r="AP38" s="61">
        <v>0</v>
      </c>
      <c r="AQ38" s="61" t="s">
        <v>207</v>
      </c>
      <c r="AR38" s="61"/>
      <c r="AS38" s="61">
        <v>1</v>
      </c>
      <c r="AT38" s="61" t="s">
        <v>338</v>
      </c>
      <c r="AU38" s="61"/>
      <c r="AV38" s="61">
        <v>0</v>
      </c>
      <c r="AW38" s="61" t="s">
        <v>305</v>
      </c>
      <c r="AX38" s="61"/>
      <c r="AY38" s="61">
        <v>0</v>
      </c>
      <c r="AZ38" s="61" t="s">
        <v>210</v>
      </c>
      <c r="BA38" s="61"/>
      <c r="BB38" s="61">
        <v>1</v>
      </c>
      <c r="BC38" s="61" t="s">
        <v>211</v>
      </c>
      <c r="BD38" s="61"/>
      <c r="BE38" s="61">
        <v>1</v>
      </c>
      <c r="BF38" s="61" t="s">
        <v>267</v>
      </c>
      <c r="BG38" s="61"/>
      <c r="BH38" s="61">
        <v>0</v>
      </c>
      <c r="BI38" s="61" t="s">
        <v>213</v>
      </c>
      <c r="BJ38" s="61"/>
      <c r="BK38" s="61">
        <v>1</v>
      </c>
      <c r="BL38" s="61" t="s">
        <v>344</v>
      </c>
      <c r="BM38" s="61"/>
      <c r="BN38" s="61">
        <v>0</v>
      </c>
      <c r="BO38" s="61" t="s">
        <v>215</v>
      </c>
      <c r="BP38" s="61"/>
      <c r="BQ38" s="61">
        <v>1</v>
      </c>
      <c r="BR38" s="61" t="s">
        <v>447</v>
      </c>
      <c r="BS38" s="61"/>
      <c r="BT38" s="61">
        <v>0</v>
      </c>
      <c r="BU38" s="61" t="s">
        <v>217</v>
      </c>
      <c r="BV38" s="61">
        <v>1</v>
      </c>
      <c r="BW38" s="61"/>
      <c r="BX38" s="61" t="s">
        <v>218</v>
      </c>
      <c r="BY38" s="61">
        <v>1</v>
      </c>
      <c r="BZ38" s="61"/>
      <c r="CA38" s="61" t="s">
        <v>219</v>
      </c>
      <c r="CB38" s="61">
        <v>1</v>
      </c>
      <c r="CC38" s="61"/>
      <c r="CD38" s="61" t="s">
        <v>271</v>
      </c>
      <c r="CE38" s="61">
        <v>1</v>
      </c>
      <c r="CF38" s="61"/>
      <c r="CG38" s="61" t="s">
        <v>221</v>
      </c>
      <c r="CH38" s="61">
        <v>1</v>
      </c>
      <c r="CI38" s="61"/>
      <c r="CJ38" s="61" t="s">
        <v>222</v>
      </c>
      <c r="CK38" s="61"/>
      <c r="CL38" s="61">
        <v>1</v>
      </c>
      <c r="CM38" s="61" t="s">
        <v>223</v>
      </c>
      <c r="CN38" s="61"/>
      <c r="CO38" s="61">
        <v>1</v>
      </c>
      <c r="CP38" s="61" t="s">
        <v>224</v>
      </c>
      <c r="CQ38" s="61"/>
      <c r="CR38" s="61">
        <v>1</v>
      </c>
      <c r="CS38" s="61" t="s">
        <v>225</v>
      </c>
      <c r="CT38" s="61"/>
      <c r="CU38" s="61">
        <v>1</v>
      </c>
      <c r="CV38" s="61" t="s">
        <v>226</v>
      </c>
      <c r="CW38" s="61"/>
      <c r="CX38" s="61">
        <v>1</v>
      </c>
      <c r="CY38" s="61" t="s">
        <v>227</v>
      </c>
      <c r="CZ38" s="61"/>
      <c r="DA38" s="61">
        <v>1</v>
      </c>
      <c r="DB38" s="61" t="s">
        <v>228</v>
      </c>
      <c r="DC38" s="61"/>
      <c r="DD38" s="61">
        <v>1</v>
      </c>
      <c r="DE38" s="61" t="s">
        <v>229</v>
      </c>
      <c r="DF38" s="61"/>
      <c r="DG38" s="61">
        <v>1</v>
      </c>
      <c r="DH38" s="61" t="s">
        <v>230</v>
      </c>
      <c r="DI38" s="61"/>
      <c r="DJ38" s="61">
        <v>1</v>
      </c>
      <c r="DK38" s="61" t="s">
        <v>231</v>
      </c>
      <c r="DL38" s="61"/>
      <c r="DM38" s="61">
        <v>1</v>
      </c>
      <c r="DN38" s="61" t="s">
        <v>232</v>
      </c>
      <c r="DO38" s="61"/>
      <c r="DP38" s="61">
        <v>1</v>
      </c>
      <c r="DQ38" s="61" t="s">
        <v>347</v>
      </c>
      <c r="DR38" s="61"/>
      <c r="DS38" s="61">
        <v>0</v>
      </c>
      <c r="DT38" s="61" t="s">
        <v>234</v>
      </c>
      <c r="DU38" s="61"/>
      <c r="DV38" s="61">
        <v>1</v>
      </c>
      <c r="DW38" s="61" t="s">
        <v>235</v>
      </c>
      <c r="DX38" s="61"/>
      <c r="DY38" s="61">
        <v>1</v>
      </c>
      <c r="DZ38" s="61" t="s">
        <v>236</v>
      </c>
      <c r="EA38" s="61"/>
      <c r="EB38" s="61">
        <v>1</v>
      </c>
      <c r="EC38" s="61" t="s">
        <v>237</v>
      </c>
      <c r="ED38" s="61"/>
      <c r="EE38" s="61">
        <v>1</v>
      </c>
      <c r="EF38" s="61" t="s">
        <v>238</v>
      </c>
      <c r="EG38" s="61"/>
      <c r="EH38" s="61">
        <v>1</v>
      </c>
      <c r="EI38" s="61" t="s">
        <v>239</v>
      </c>
      <c r="EJ38" s="61"/>
      <c r="EK38" s="61">
        <v>1</v>
      </c>
      <c r="EL38" s="61" t="s">
        <v>277</v>
      </c>
      <c r="EM38" s="61"/>
      <c r="EN38" s="61">
        <v>0</v>
      </c>
      <c r="EO38" s="61" t="s">
        <v>241</v>
      </c>
      <c r="EP38" s="61"/>
      <c r="EQ38" s="61">
        <v>1</v>
      </c>
      <c r="ER38" s="61" t="s">
        <v>278</v>
      </c>
      <c r="ES38" s="61"/>
      <c r="ET38" s="61">
        <v>0</v>
      </c>
      <c r="EU38" s="61" t="s">
        <v>243</v>
      </c>
      <c r="EV38" s="61"/>
      <c r="EW38" s="61">
        <v>1</v>
      </c>
      <c r="EX38" s="61" t="s">
        <v>244</v>
      </c>
      <c r="EY38" s="61"/>
      <c r="EZ38" s="61">
        <v>1</v>
      </c>
      <c r="FA38" s="61" t="s">
        <v>321</v>
      </c>
      <c r="FB38" s="61"/>
      <c r="FC38" s="61">
        <v>0</v>
      </c>
      <c r="FD38" s="61" t="s">
        <v>414</v>
      </c>
      <c r="FE38" s="61"/>
      <c r="FF38" s="61">
        <v>0</v>
      </c>
      <c r="FG38" s="61" t="s">
        <v>282</v>
      </c>
      <c r="FH38" s="61"/>
      <c r="FI38" s="61">
        <v>0</v>
      </c>
      <c r="FJ38" s="61" t="s">
        <v>298</v>
      </c>
      <c r="FK38" s="61"/>
      <c r="FL38" s="61">
        <v>1</v>
      </c>
      <c r="FM38" s="61" t="s">
        <v>448</v>
      </c>
      <c r="FN38" s="61"/>
      <c r="FO38" s="61">
        <v>0</v>
      </c>
      <c r="FP38" s="61" t="s">
        <v>250</v>
      </c>
      <c r="FQ38" s="61"/>
      <c r="FR38" s="61">
        <v>1</v>
      </c>
      <c r="FS38" s="61" t="s">
        <v>251</v>
      </c>
      <c r="FT38" s="61"/>
      <c r="FU38" s="61">
        <v>1</v>
      </c>
      <c r="FV38" s="61" t="s">
        <v>252</v>
      </c>
      <c r="FW38" s="61"/>
      <c r="FX38" s="61">
        <v>1</v>
      </c>
      <c r="FY38" s="61" t="s">
        <v>253</v>
      </c>
      <c r="FZ38" s="61"/>
      <c r="GA38" s="61">
        <v>1</v>
      </c>
      <c r="GB38" s="61" t="s">
        <v>254</v>
      </c>
      <c r="GC38" s="61"/>
      <c r="GD38" s="61">
        <v>1</v>
      </c>
      <c r="GE38" s="61" t="s">
        <v>284</v>
      </c>
      <c r="GF38" s="61"/>
      <c r="GG38" s="61">
        <v>0</v>
      </c>
      <c r="GH38" s="61" t="s">
        <v>380</v>
      </c>
      <c r="GI38" s="61"/>
      <c r="GJ38" s="61">
        <v>0</v>
      </c>
      <c r="GK38" s="61" t="s">
        <v>257</v>
      </c>
      <c r="GL38" s="61"/>
      <c r="GM38" s="61">
        <v>1</v>
      </c>
    </row>
    <row r="39" spans="1:195">
      <c r="A39" s="62">
        <v>38</v>
      </c>
      <c r="B39" s="61" t="s">
        <v>449</v>
      </c>
      <c r="C39" s="61" t="s">
        <v>450</v>
      </c>
      <c r="D39" s="61" t="s">
        <v>197</v>
      </c>
      <c r="E39" s="61"/>
      <c r="F39" s="61">
        <v>33</v>
      </c>
      <c r="G39" s="61"/>
      <c r="H39" s="61"/>
      <c r="I39" s="61"/>
      <c r="J39" s="61"/>
      <c r="K39" s="61"/>
      <c r="L39" s="65" t="s">
        <v>653</v>
      </c>
      <c r="M39" s="61" t="s">
        <v>654</v>
      </c>
      <c r="N39" s="61"/>
      <c r="O39" s="61"/>
      <c r="P39" s="61" t="s">
        <v>198</v>
      </c>
      <c r="Q39" s="61">
        <v>0</v>
      </c>
      <c r="R39" s="61"/>
      <c r="S39" s="61" t="s">
        <v>199</v>
      </c>
      <c r="T39" s="61">
        <v>1</v>
      </c>
      <c r="U39" s="61"/>
      <c r="V39" s="61" t="s">
        <v>200</v>
      </c>
      <c r="W39" s="61">
        <v>1</v>
      </c>
      <c r="X39" s="61"/>
      <c r="Y39" s="61" t="s">
        <v>261</v>
      </c>
      <c r="Z39" s="61">
        <v>1</v>
      </c>
      <c r="AA39" s="61"/>
      <c r="AB39" s="61" t="s">
        <v>290</v>
      </c>
      <c r="AC39" s="61"/>
      <c r="AD39" s="61">
        <v>1</v>
      </c>
      <c r="AE39" s="61" t="s">
        <v>203</v>
      </c>
      <c r="AF39" s="61"/>
      <c r="AG39" s="61">
        <v>1</v>
      </c>
      <c r="AH39" s="61" t="s">
        <v>263</v>
      </c>
      <c r="AI39" s="61"/>
      <c r="AJ39" s="61">
        <v>0</v>
      </c>
      <c r="AK39" s="61" t="s">
        <v>264</v>
      </c>
      <c r="AL39" s="61"/>
      <c r="AM39" s="61">
        <v>0</v>
      </c>
      <c r="AN39" s="61" t="s">
        <v>206</v>
      </c>
      <c r="AO39" s="61"/>
      <c r="AP39" s="61">
        <v>1</v>
      </c>
      <c r="AQ39" s="61" t="s">
        <v>207</v>
      </c>
      <c r="AR39" s="61"/>
      <c r="AS39" s="61">
        <v>1</v>
      </c>
      <c r="AT39" s="61" t="s">
        <v>292</v>
      </c>
      <c r="AU39" s="61"/>
      <c r="AV39" s="61">
        <v>0</v>
      </c>
      <c r="AW39" s="61" t="s">
        <v>265</v>
      </c>
      <c r="AX39" s="61"/>
      <c r="AY39" s="61">
        <v>0</v>
      </c>
      <c r="AZ39" s="61" t="s">
        <v>451</v>
      </c>
      <c r="BA39" s="61"/>
      <c r="BB39" s="61">
        <v>0</v>
      </c>
      <c r="BC39" s="61" t="s">
        <v>211</v>
      </c>
      <c r="BD39" s="61"/>
      <c r="BE39" s="61">
        <v>1</v>
      </c>
      <c r="BF39" s="61" t="s">
        <v>212</v>
      </c>
      <c r="BG39" s="61"/>
      <c r="BH39" s="61">
        <v>1</v>
      </c>
      <c r="BI39" s="61" t="s">
        <v>213</v>
      </c>
      <c r="BJ39" s="61"/>
      <c r="BK39" s="61">
        <v>1</v>
      </c>
      <c r="BL39" s="61" t="s">
        <v>214</v>
      </c>
      <c r="BM39" s="61"/>
      <c r="BN39" s="61">
        <v>1</v>
      </c>
      <c r="BO39" s="61" t="s">
        <v>215</v>
      </c>
      <c r="BP39" s="61"/>
      <c r="BQ39" s="61">
        <v>1</v>
      </c>
      <c r="BR39" s="61" t="s">
        <v>216</v>
      </c>
      <c r="BS39" s="61"/>
      <c r="BT39" s="61">
        <v>1</v>
      </c>
      <c r="BU39" s="61" t="s">
        <v>217</v>
      </c>
      <c r="BV39" s="61">
        <v>1</v>
      </c>
      <c r="BW39" s="61"/>
      <c r="BX39" s="61" t="s">
        <v>218</v>
      </c>
      <c r="BY39" s="61">
        <v>1</v>
      </c>
      <c r="BZ39" s="61"/>
      <c r="CA39" s="61" t="s">
        <v>270</v>
      </c>
      <c r="CB39" s="61">
        <v>0</v>
      </c>
      <c r="CC39" s="61"/>
      <c r="CD39" s="61" t="s">
        <v>220</v>
      </c>
      <c r="CE39" s="61">
        <v>0</v>
      </c>
      <c r="CF39" s="61"/>
      <c r="CG39" s="61" t="s">
        <v>221</v>
      </c>
      <c r="CH39" s="61">
        <v>1</v>
      </c>
      <c r="CI39" s="61"/>
      <c r="CJ39" s="61" t="s">
        <v>222</v>
      </c>
      <c r="CK39" s="61"/>
      <c r="CL39" s="61">
        <v>1</v>
      </c>
      <c r="CM39" s="61" t="s">
        <v>223</v>
      </c>
      <c r="CN39" s="61"/>
      <c r="CO39" s="61">
        <v>1</v>
      </c>
      <c r="CP39" s="61" t="s">
        <v>224</v>
      </c>
      <c r="CQ39" s="61"/>
      <c r="CR39" s="61">
        <v>1</v>
      </c>
      <c r="CS39" s="61" t="s">
        <v>307</v>
      </c>
      <c r="CT39" s="61"/>
      <c r="CU39" s="61">
        <v>0</v>
      </c>
      <c r="CV39" s="61" t="s">
        <v>226</v>
      </c>
      <c r="CW39" s="61"/>
      <c r="CX39" s="61">
        <v>1</v>
      </c>
      <c r="CY39" s="61" t="s">
        <v>227</v>
      </c>
      <c r="CZ39" s="61"/>
      <c r="DA39" s="61">
        <v>1</v>
      </c>
      <c r="DB39" s="61" t="s">
        <v>228</v>
      </c>
      <c r="DC39" s="61"/>
      <c r="DD39" s="61">
        <v>1</v>
      </c>
      <c r="DE39" s="61" t="s">
        <v>229</v>
      </c>
      <c r="DF39" s="61"/>
      <c r="DG39" s="61">
        <v>1</v>
      </c>
      <c r="DH39" s="61" t="s">
        <v>230</v>
      </c>
      <c r="DI39" s="61"/>
      <c r="DJ39" s="61">
        <v>1</v>
      </c>
      <c r="DK39" s="61" t="s">
        <v>231</v>
      </c>
      <c r="DL39" s="61"/>
      <c r="DM39" s="61">
        <v>1</v>
      </c>
      <c r="DN39" s="61" t="s">
        <v>232</v>
      </c>
      <c r="DO39" s="61"/>
      <c r="DP39" s="61">
        <v>1</v>
      </c>
      <c r="DQ39" s="61" t="s">
        <v>233</v>
      </c>
      <c r="DR39" s="61"/>
      <c r="DS39" s="61">
        <v>1</v>
      </c>
      <c r="DT39" s="61" t="s">
        <v>234</v>
      </c>
      <c r="DU39" s="61"/>
      <c r="DV39" s="61">
        <v>1</v>
      </c>
      <c r="DW39" s="61" t="s">
        <v>354</v>
      </c>
      <c r="DX39" s="61"/>
      <c r="DY39" s="61">
        <v>0</v>
      </c>
      <c r="DZ39" s="61" t="s">
        <v>236</v>
      </c>
      <c r="EA39" s="61"/>
      <c r="EB39" s="61">
        <v>1</v>
      </c>
      <c r="EC39" s="61" t="s">
        <v>339</v>
      </c>
      <c r="ED39" s="61"/>
      <c r="EE39" s="61">
        <v>0</v>
      </c>
      <c r="EF39" s="61" t="s">
        <v>276</v>
      </c>
      <c r="EG39" s="61"/>
      <c r="EH39" s="61">
        <v>0</v>
      </c>
      <c r="EI39" s="61" t="s">
        <v>359</v>
      </c>
      <c r="EJ39" s="61"/>
      <c r="EK39" s="61">
        <v>0</v>
      </c>
      <c r="EL39" s="61" t="s">
        <v>348</v>
      </c>
      <c r="EM39" s="61"/>
      <c r="EN39" s="61">
        <v>0</v>
      </c>
      <c r="EO39" s="61" t="s">
        <v>353</v>
      </c>
      <c r="EP39" s="61"/>
      <c r="EQ39" s="61">
        <v>0</v>
      </c>
      <c r="ER39" s="61" t="s">
        <v>452</v>
      </c>
      <c r="ES39" s="61"/>
      <c r="ET39" s="61">
        <v>0</v>
      </c>
      <c r="EU39" s="61" t="s">
        <v>453</v>
      </c>
      <c r="EV39" s="61"/>
      <c r="EW39" s="61">
        <v>0</v>
      </c>
      <c r="EX39" s="61" t="s">
        <v>340</v>
      </c>
      <c r="EY39" s="61"/>
      <c r="EZ39" s="61">
        <v>0</v>
      </c>
      <c r="FA39" s="61" t="s">
        <v>245</v>
      </c>
      <c r="FB39" s="61"/>
      <c r="FC39" s="61">
        <v>1</v>
      </c>
      <c r="FD39" s="61" t="s">
        <v>414</v>
      </c>
      <c r="FE39" s="61"/>
      <c r="FF39" s="61">
        <v>0</v>
      </c>
      <c r="FG39" s="61" t="s">
        <v>247</v>
      </c>
      <c r="FH39" s="61"/>
      <c r="FI39" s="61">
        <v>1</v>
      </c>
      <c r="FJ39" s="61" t="s">
        <v>310</v>
      </c>
      <c r="FK39" s="61"/>
      <c r="FL39" s="61">
        <v>0</v>
      </c>
      <c r="FM39" s="61" t="s">
        <v>299</v>
      </c>
      <c r="FN39" s="61"/>
      <c r="FO39" s="61">
        <v>0</v>
      </c>
      <c r="FP39" s="61" t="s">
        <v>332</v>
      </c>
      <c r="FQ39" s="61"/>
      <c r="FR39" s="61">
        <v>0</v>
      </c>
      <c r="FS39" s="61" t="s">
        <v>426</v>
      </c>
      <c r="FT39" s="61"/>
      <c r="FU39" s="61">
        <v>0</v>
      </c>
      <c r="FV39" s="61" t="s">
        <v>252</v>
      </c>
      <c r="FW39" s="61"/>
      <c r="FX39" s="61">
        <v>1</v>
      </c>
      <c r="FY39" s="61" t="s">
        <v>253</v>
      </c>
      <c r="FZ39" s="61"/>
      <c r="GA39" s="61">
        <v>1</v>
      </c>
      <c r="GB39" s="61"/>
      <c r="GC39" s="61"/>
      <c r="GD39" s="61">
        <v>0</v>
      </c>
      <c r="GE39" s="61"/>
      <c r="GF39" s="61"/>
      <c r="GG39" s="61">
        <v>0</v>
      </c>
      <c r="GH39" s="61"/>
      <c r="GI39" s="61"/>
      <c r="GJ39" s="61">
        <v>0</v>
      </c>
      <c r="GK39" s="61"/>
      <c r="GL39" s="61"/>
      <c r="GM39" s="61">
        <v>0</v>
      </c>
    </row>
    <row r="40" spans="1:195">
      <c r="A40" s="62">
        <v>39</v>
      </c>
      <c r="B40" s="61" t="s">
        <v>454</v>
      </c>
      <c r="C40" s="61" t="s">
        <v>455</v>
      </c>
      <c r="D40" s="61" t="s">
        <v>197</v>
      </c>
      <c r="E40" s="61"/>
      <c r="F40" s="61">
        <v>51</v>
      </c>
      <c r="G40" s="61"/>
      <c r="H40" s="61"/>
      <c r="I40" s="61"/>
      <c r="J40" s="61"/>
      <c r="K40" s="61"/>
      <c r="L40" s="65" t="s">
        <v>655</v>
      </c>
      <c r="M40" s="61" t="s">
        <v>656</v>
      </c>
      <c r="N40" s="61"/>
      <c r="O40" s="61"/>
      <c r="P40" s="61" t="s">
        <v>260</v>
      </c>
      <c r="Q40" s="61">
        <v>1</v>
      </c>
      <c r="R40" s="61"/>
      <c r="S40" s="61" t="s">
        <v>199</v>
      </c>
      <c r="T40" s="61">
        <v>1</v>
      </c>
      <c r="U40" s="61"/>
      <c r="V40" s="61" t="s">
        <v>200</v>
      </c>
      <c r="W40" s="61">
        <v>1</v>
      </c>
      <c r="X40" s="61"/>
      <c r="Y40" s="61" t="s">
        <v>261</v>
      </c>
      <c r="Z40" s="61">
        <v>1</v>
      </c>
      <c r="AA40" s="61"/>
      <c r="AB40" s="61" t="s">
        <v>202</v>
      </c>
      <c r="AC40" s="61"/>
      <c r="AD40" s="61">
        <v>0</v>
      </c>
      <c r="AE40" s="61" t="s">
        <v>203</v>
      </c>
      <c r="AF40" s="61"/>
      <c r="AG40" s="61">
        <v>1</v>
      </c>
      <c r="AH40" s="61" t="s">
        <v>303</v>
      </c>
      <c r="AI40" s="61"/>
      <c r="AJ40" s="61">
        <v>0</v>
      </c>
      <c r="AK40" s="61" t="s">
        <v>264</v>
      </c>
      <c r="AL40" s="61"/>
      <c r="AM40" s="61">
        <v>0</v>
      </c>
      <c r="AN40" s="61" t="s">
        <v>206</v>
      </c>
      <c r="AO40" s="61"/>
      <c r="AP40" s="61">
        <v>1</v>
      </c>
      <c r="AQ40" s="61" t="s">
        <v>207</v>
      </c>
      <c r="AR40" s="61"/>
      <c r="AS40" s="61">
        <v>1</v>
      </c>
      <c r="AT40" s="61" t="s">
        <v>208</v>
      </c>
      <c r="AU40" s="61"/>
      <c r="AV40" s="61">
        <v>1</v>
      </c>
      <c r="AW40" s="61" t="s">
        <v>209</v>
      </c>
      <c r="AX40" s="61"/>
      <c r="AY40" s="61">
        <v>1</v>
      </c>
      <c r="AZ40" s="61" t="s">
        <v>210</v>
      </c>
      <c r="BA40" s="61"/>
      <c r="BB40" s="61">
        <v>1</v>
      </c>
      <c r="BC40" s="61" t="s">
        <v>211</v>
      </c>
      <c r="BD40" s="61"/>
      <c r="BE40" s="61">
        <v>1</v>
      </c>
      <c r="BF40" s="61" t="s">
        <v>212</v>
      </c>
      <c r="BG40" s="61"/>
      <c r="BH40" s="61">
        <v>1</v>
      </c>
      <c r="BI40" s="61" t="s">
        <v>213</v>
      </c>
      <c r="BJ40" s="61"/>
      <c r="BK40" s="61">
        <v>1</v>
      </c>
      <c r="BL40" s="61" t="s">
        <v>214</v>
      </c>
      <c r="BM40" s="61"/>
      <c r="BN40" s="61">
        <v>1</v>
      </c>
      <c r="BO40" s="61" t="s">
        <v>215</v>
      </c>
      <c r="BP40" s="61"/>
      <c r="BQ40" s="61">
        <v>1</v>
      </c>
      <c r="BR40" s="61" t="s">
        <v>216</v>
      </c>
      <c r="BS40" s="61"/>
      <c r="BT40" s="61">
        <v>1</v>
      </c>
      <c r="BU40" s="61" t="s">
        <v>217</v>
      </c>
      <c r="BV40" s="61">
        <v>1</v>
      </c>
      <c r="BW40" s="61"/>
      <c r="BX40" s="61" t="s">
        <v>218</v>
      </c>
      <c r="BY40" s="61">
        <v>1</v>
      </c>
      <c r="BZ40" s="61"/>
      <c r="CA40" s="61" t="s">
        <v>270</v>
      </c>
      <c r="CB40" s="61">
        <v>0</v>
      </c>
      <c r="CC40" s="61"/>
      <c r="CD40" s="61" t="s">
        <v>271</v>
      </c>
      <c r="CE40" s="61">
        <v>1</v>
      </c>
      <c r="CF40" s="61"/>
      <c r="CG40" s="61" t="s">
        <v>221</v>
      </c>
      <c r="CH40" s="61">
        <v>1</v>
      </c>
      <c r="CI40" s="61"/>
      <c r="CJ40" s="61" t="s">
        <v>222</v>
      </c>
      <c r="CK40" s="61"/>
      <c r="CL40" s="61">
        <v>1</v>
      </c>
      <c r="CM40" s="61" t="s">
        <v>223</v>
      </c>
      <c r="CN40" s="61"/>
      <c r="CO40" s="61">
        <v>1</v>
      </c>
      <c r="CP40" s="61" t="s">
        <v>224</v>
      </c>
      <c r="CQ40" s="61"/>
      <c r="CR40" s="61">
        <v>1</v>
      </c>
      <c r="CS40" s="61" t="s">
        <v>225</v>
      </c>
      <c r="CT40" s="61"/>
      <c r="CU40" s="61">
        <v>1</v>
      </c>
      <c r="CV40" s="61" t="s">
        <v>226</v>
      </c>
      <c r="CW40" s="61"/>
      <c r="CX40" s="61">
        <v>1</v>
      </c>
      <c r="CY40" s="61" t="s">
        <v>227</v>
      </c>
      <c r="CZ40" s="61"/>
      <c r="DA40" s="61">
        <v>1</v>
      </c>
      <c r="DB40" s="61" t="s">
        <v>228</v>
      </c>
      <c r="DC40" s="61"/>
      <c r="DD40" s="61">
        <v>1</v>
      </c>
      <c r="DE40" s="61" t="s">
        <v>229</v>
      </c>
      <c r="DF40" s="61"/>
      <c r="DG40" s="61">
        <v>1</v>
      </c>
      <c r="DH40" s="61" t="s">
        <v>230</v>
      </c>
      <c r="DI40" s="61"/>
      <c r="DJ40" s="61">
        <v>1</v>
      </c>
      <c r="DK40" s="61" t="s">
        <v>231</v>
      </c>
      <c r="DL40" s="61"/>
      <c r="DM40" s="61">
        <v>1</v>
      </c>
      <c r="DN40" s="61" t="s">
        <v>232</v>
      </c>
      <c r="DO40" s="61"/>
      <c r="DP40" s="61">
        <v>1</v>
      </c>
      <c r="DQ40" s="61" t="s">
        <v>233</v>
      </c>
      <c r="DR40" s="61"/>
      <c r="DS40" s="61">
        <v>1</v>
      </c>
      <c r="DT40" s="61" t="s">
        <v>234</v>
      </c>
      <c r="DU40" s="61"/>
      <c r="DV40" s="61">
        <v>1</v>
      </c>
      <c r="DW40" s="61" t="s">
        <v>235</v>
      </c>
      <c r="DX40" s="61"/>
      <c r="DY40" s="61">
        <v>1</v>
      </c>
      <c r="DZ40" s="61" t="s">
        <v>236</v>
      </c>
      <c r="EA40" s="61"/>
      <c r="EB40" s="61">
        <v>1</v>
      </c>
      <c r="EC40" s="61" t="s">
        <v>237</v>
      </c>
      <c r="ED40" s="61"/>
      <c r="EE40" s="61">
        <v>1</v>
      </c>
      <c r="EF40" s="61" t="s">
        <v>238</v>
      </c>
      <c r="EG40" s="61"/>
      <c r="EH40" s="61">
        <v>1</v>
      </c>
      <c r="EI40" s="61" t="s">
        <v>239</v>
      </c>
      <c r="EJ40" s="61"/>
      <c r="EK40" s="61">
        <v>1</v>
      </c>
      <c r="EL40" s="61" t="s">
        <v>240</v>
      </c>
      <c r="EM40" s="61"/>
      <c r="EN40" s="61">
        <v>1</v>
      </c>
      <c r="EO40" s="61" t="s">
        <v>241</v>
      </c>
      <c r="EP40" s="61"/>
      <c r="EQ40" s="61">
        <v>1</v>
      </c>
      <c r="ER40" s="61" t="s">
        <v>242</v>
      </c>
      <c r="ES40" s="61"/>
      <c r="ET40" s="61">
        <v>1</v>
      </c>
      <c r="EU40" s="61" t="s">
        <v>243</v>
      </c>
      <c r="EV40" s="61"/>
      <c r="EW40" s="61">
        <v>1</v>
      </c>
      <c r="EX40" s="61" t="s">
        <v>244</v>
      </c>
      <c r="EY40" s="61"/>
      <c r="EZ40" s="61">
        <v>1</v>
      </c>
      <c r="FA40" s="61" t="s">
        <v>321</v>
      </c>
      <c r="FB40" s="61"/>
      <c r="FC40" s="61">
        <v>0</v>
      </c>
      <c r="FD40" s="61" t="s">
        <v>246</v>
      </c>
      <c r="FE40" s="61"/>
      <c r="FF40" s="61">
        <v>1</v>
      </c>
      <c r="FG40" s="61" t="s">
        <v>282</v>
      </c>
      <c r="FH40" s="61"/>
      <c r="FI40" s="61">
        <v>0</v>
      </c>
      <c r="FJ40" s="61" t="s">
        <v>310</v>
      </c>
      <c r="FK40" s="61"/>
      <c r="FL40" s="61">
        <v>0</v>
      </c>
      <c r="FM40" s="61" t="s">
        <v>249</v>
      </c>
      <c r="FN40" s="61"/>
      <c r="FO40" s="61">
        <v>1</v>
      </c>
      <c r="FP40" s="61" t="s">
        <v>250</v>
      </c>
      <c r="FQ40" s="61"/>
      <c r="FR40" s="61">
        <v>1</v>
      </c>
      <c r="FS40" s="61" t="s">
        <v>283</v>
      </c>
      <c r="FT40" s="61"/>
      <c r="FU40" s="61">
        <v>0</v>
      </c>
      <c r="FV40" s="61" t="s">
        <v>252</v>
      </c>
      <c r="FW40" s="61"/>
      <c r="FX40" s="61">
        <v>1</v>
      </c>
      <c r="FY40" s="61" t="s">
        <v>253</v>
      </c>
      <c r="FZ40" s="61"/>
      <c r="GA40" s="61">
        <v>1</v>
      </c>
      <c r="GB40" s="61" t="s">
        <v>254</v>
      </c>
      <c r="GC40" s="61"/>
      <c r="GD40" s="61">
        <v>1</v>
      </c>
      <c r="GE40" s="61" t="s">
        <v>255</v>
      </c>
      <c r="GF40" s="61"/>
      <c r="GG40" s="61">
        <v>1</v>
      </c>
      <c r="GH40" s="61" t="s">
        <v>256</v>
      </c>
      <c r="GI40" s="61"/>
      <c r="GJ40" s="61">
        <v>1</v>
      </c>
      <c r="GK40" s="61" t="s">
        <v>286</v>
      </c>
      <c r="GL40" s="61"/>
      <c r="GM40" s="61">
        <v>0</v>
      </c>
    </row>
    <row r="41" spans="1:195">
      <c r="A41" s="62">
        <v>40</v>
      </c>
      <c r="B41" s="61" t="s">
        <v>456</v>
      </c>
      <c r="C41" s="61" t="s">
        <v>457</v>
      </c>
      <c r="D41" s="61" t="s">
        <v>197</v>
      </c>
      <c r="E41" s="61"/>
      <c r="F41" s="61">
        <v>33</v>
      </c>
      <c r="G41" s="61"/>
      <c r="H41" s="61"/>
      <c r="I41" s="61"/>
      <c r="J41" s="61"/>
      <c r="K41" s="61"/>
      <c r="L41" s="65" t="s">
        <v>657</v>
      </c>
      <c r="M41" s="61" t="s">
        <v>658</v>
      </c>
      <c r="N41" s="61"/>
      <c r="O41" s="61"/>
      <c r="P41" s="61" t="s">
        <v>358</v>
      </c>
      <c r="Q41" s="61">
        <v>0</v>
      </c>
      <c r="R41" s="61"/>
      <c r="S41" s="61" t="s">
        <v>199</v>
      </c>
      <c r="T41" s="61">
        <v>1</v>
      </c>
      <c r="U41" s="61"/>
      <c r="V41" s="61" t="s">
        <v>200</v>
      </c>
      <c r="W41" s="61">
        <v>1</v>
      </c>
      <c r="X41" s="61"/>
      <c r="Y41" s="61" t="s">
        <v>289</v>
      </c>
      <c r="Z41" s="61">
        <v>0</v>
      </c>
      <c r="AA41" s="61"/>
      <c r="AB41" s="61" t="s">
        <v>202</v>
      </c>
      <c r="AC41" s="61"/>
      <c r="AD41" s="61">
        <v>0</v>
      </c>
      <c r="AE41" s="61" t="s">
        <v>203</v>
      </c>
      <c r="AF41" s="61"/>
      <c r="AG41" s="61">
        <v>1</v>
      </c>
      <c r="AH41" s="61" t="s">
        <v>263</v>
      </c>
      <c r="AI41" s="61"/>
      <c r="AJ41" s="61">
        <v>0</v>
      </c>
      <c r="AK41" s="61" t="s">
        <v>264</v>
      </c>
      <c r="AL41" s="61"/>
      <c r="AM41" s="61">
        <v>0</v>
      </c>
      <c r="AN41" s="61" t="s">
        <v>291</v>
      </c>
      <c r="AO41" s="61"/>
      <c r="AP41" s="61">
        <v>0</v>
      </c>
      <c r="AQ41" s="61" t="s">
        <v>207</v>
      </c>
      <c r="AR41" s="61"/>
      <c r="AS41" s="61">
        <v>1</v>
      </c>
      <c r="AT41" s="61" t="s">
        <v>338</v>
      </c>
      <c r="AU41" s="61"/>
      <c r="AV41" s="61">
        <v>0</v>
      </c>
      <c r="AW41" s="61" t="s">
        <v>293</v>
      </c>
      <c r="AX41" s="61"/>
      <c r="AY41" s="61">
        <v>0</v>
      </c>
      <c r="AZ41" s="61" t="s">
        <v>210</v>
      </c>
      <c r="BA41" s="61"/>
      <c r="BB41" s="61">
        <v>1</v>
      </c>
      <c r="BC41" s="61" t="s">
        <v>211</v>
      </c>
      <c r="BD41" s="61"/>
      <c r="BE41" s="61">
        <v>1</v>
      </c>
      <c r="BF41" s="61" t="s">
        <v>388</v>
      </c>
      <c r="BG41" s="61"/>
      <c r="BH41" s="61">
        <v>0</v>
      </c>
      <c r="BI41" s="61" t="s">
        <v>213</v>
      </c>
      <c r="BJ41" s="61"/>
      <c r="BK41" s="61">
        <v>1</v>
      </c>
      <c r="BL41" s="61" t="s">
        <v>214</v>
      </c>
      <c r="BM41" s="61"/>
      <c r="BN41" s="61">
        <v>1</v>
      </c>
      <c r="BO41" s="61" t="s">
        <v>365</v>
      </c>
      <c r="BP41" s="61"/>
      <c r="BQ41" s="61">
        <v>0</v>
      </c>
      <c r="BR41" s="61" t="s">
        <v>447</v>
      </c>
      <c r="BS41" s="61"/>
      <c r="BT41" s="61">
        <v>0</v>
      </c>
      <c r="BU41" s="61" t="s">
        <v>217</v>
      </c>
      <c r="BV41" s="61">
        <v>1</v>
      </c>
      <c r="BW41" s="61"/>
      <c r="BX41" s="61" t="s">
        <v>218</v>
      </c>
      <c r="BY41" s="61">
        <v>1</v>
      </c>
      <c r="BZ41" s="61"/>
      <c r="CA41" s="61" t="s">
        <v>327</v>
      </c>
      <c r="CB41" s="61">
        <v>0</v>
      </c>
      <c r="CC41" s="61"/>
      <c r="CD41" s="61" t="s">
        <v>271</v>
      </c>
      <c r="CE41" s="61">
        <v>1</v>
      </c>
      <c r="CF41" s="61"/>
      <c r="CG41" s="61" t="s">
        <v>221</v>
      </c>
      <c r="CH41" s="61">
        <v>1</v>
      </c>
      <c r="CI41" s="61"/>
      <c r="CJ41" s="61" t="s">
        <v>222</v>
      </c>
      <c r="CK41" s="61"/>
      <c r="CL41" s="61">
        <v>1</v>
      </c>
      <c r="CM41" s="61" t="s">
        <v>458</v>
      </c>
      <c r="CN41" s="61"/>
      <c r="CO41" s="61">
        <v>0</v>
      </c>
      <c r="CP41" s="61" t="s">
        <v>224</v>
      </c>
      <c r="CQ41" s="61"/>
      <c r="CR41" s="61">
        <v>1</v>
      </c>
      <c r="CS41" s="61" t="s">
        <v>307</v>
      </c>
      <c r="CT41" s="61"/>
      <c r="CU41" s="61">
        <v>0</v>
      </c>
      <c r="CV41" s="61" t="s">
        <v>226</v>
      </c>
      <c r="CW41" s="61"/>
      <c r="CX41" s="61">
        <v>1</v>
      </c>
      <c r="CY41" s="61" t="s">
        <v>227</v>
      </c>
      <c r="CZ41" s="61"/>
      <c r="DA41" s="61">
        <v>1</v>
      </c>
      <c r="DB41" s="61" t="s">
        <v>228</v>
      </c>
      <c r="DC41" s="61"/>
      <c r="DD41" s="61">
        <v>1</v>
      </c>
      <c r="DE41" s="61" t="s">
        <v>229</v>
      </c>
      <c r="DF41" s="61"/>
      <c r="DG41" s="61">
        <v>1</v>
      </c>
      <c r="DH41" s="61" t="s">
        <v>230</v>
      </c>
      <c r="DI41" s="61"/>
      <c r="DJ41" s="61">
        <v>1</v>
      </c>
      <c r="DK41" s="61" t="s">
        <v>231</v>
      </c>
      <c r="DL41" s="61"/>
      <c r="DM41" s="61">
        <v>1</v>
      </c>
      <c r="DN41" s="61" t="s">
        <v>232</v>
      </c>
      <c r="DO41" s="61"/>
      <c r="DP41" s="61">
        <v>1</v>
      </c>
      <c r="DQ41" s="61" t="s">
        <v>233</v>
      </c>
      <c r="DR41" s="61"/>
      <c r="DS41" s="61">
        <v>1</v>
      </c>
      <c r="DT41" s="61" t="s">
        <v>459</v>
      </c>
      <c r="DU41" s="61"/>
      <c r="DV41" s="61">
        <v>0</v>
      </c>
      <c r="DW41" s="61" t="s">
        <v>400</v>
      </c>
      <c r="DX41" s="61"/>
      <c r="DY41" s="61">
        <v>0</v>
      </c>
      <c r="DZ41" s="61" t="s">
        <v>328</v>
      </c>
      <c r="EA41" s="61"/>
      <c r="EB41" s="61">
        <v>0</v>
      </c>
      <c r="EC41" s="61" t="s">
        <v>339</v>
      </c>
      <c r="ED41" s="61"/>
      <c r="EE41" s="61">
        <v>0</v>
      </c>
      <c r="EF41" s="61" t="s">
        <v>238</v>
      </c>
      <c r="EG41" s="61"/>
      <c r="EH41" s="61">
        <v>1</v>
      </c>
      <c r="EI41" s="61" t="s">
        <v>359</v>
      </c>
      <c r="EJ41" s="61"/>
      <c r="EK41" s="61">
        <v>0</v>
      </c>
      <c r="EL41" s="61" t="s">
        <v>348</v>
      </c>
      <c r="EM41" s="61"/>
      <c r="EN41" s="61">
        <v>0</v>
      </c>
      <c r="EO41" s="61" t="s">
        <v>241</v>
      </c>
      <c r="EP41" s="61"/>
      <c r="EQ41" s="61">
        <v>1</v>
      </c>
      <c r="ER41" s="61" t="s">
        <v>278</v>
      </c>
      <c r="ES41" s="61"/>
      <c r="ET41" s="61">
        <v>0</v>
      </c>
      <c r="EU41" s="61" t="s">
        <v>243</v>
      </c>
      <c r="EV41" s="61"/>
      <c r="EW41" s="61">
        <v>1</v>
      </c>
      <c r="EX41" s="61" t="s">
        <v>244</v>
      </c>
      <c r="EY41" s="61"/>
      <c r="EZ41" s="61">
        <v>1</v>
      </c>
      <c r="FA41" s="61" t="s">
        <v>245</v>
      </c>
      <c r="FB41" s="61"/>
      <c r="FC41" s="61">
        <v>1</v>
      </c>
      <c r="FD41" s="61" t="s">
        <v>246</v>
      </c>
      <c r="FE41" s="61"/>
      <c r="FF41" s="61">
        <v>1</v>
      </c>
      <c r="FG41" s="61" t="s">
        <v>331</v>
      </c>
      <c r="FH41" s="61"/>
      <c r="FI41" s="61">
        <v>0</v>
      </c>
      <c r="FJ41" s="61" t="s">
        <v>310</v>
      </c>
      <c r="FK41" s="61"/>
      <c r="FL41" s="61">
        <v>0</v>
      </c>
      <c r="FM41" s="61" t="s">
        <v>448</v>
      </c>
      <c r="FN41" s="61"/>
      <c r="FO41" s="61">
        <v>0</v>
      </c>
      <c r="FP41" s="61" t="s">
        <v>250</v>
      </c>
      <c r="FQ41" s="61"/>
      <c r="FR41" s="61">
        <v>1</v>
      </c>
      <c r="FS41" s="61" t="s">
        <v>251</v>
      </c>
      <c r="FT41" s="61"/>
      <c r="FU41" s="61">
        <v>1</v>
      </c>
      <c r="FV41" s="61" t="s">
        <v>252</v>
      </c>
      <c r="FW41" s="61"/>
      <c r="FX41" s="61">
        <v>1</v>
      </c>
      <c r="FY41" s="61" t="s">
        <v>253</v>
      </c>
      <c r="FZ41" s="61"/>
      <c r="GA41" s="61">
        <v>1</v>
      </c>
      <c r="GB41" s="61" t="s">
        <v>254</v>
      </c>
      <c r="GC41" s="61"/>
      <c r="GD41" s="61">
        <v>1</v>
      </c>
      <c r="GE41" s="61" t="s">
        <v>284</v>
      </c>
      <c r="GF41" s="61"/>
      <c r="GG41" s="61">
        <v>0</v>
      </c>
      <c r="GH41" s="61" t="s">
        <v>285</v>
      </c>
      <c r="GI41" s="61"/>
      <c r="GJ41" s="61">
        <v>0</v>
      </c>
      <c r="GK41" s="61" t="s">
        <v>322</v>
      </c>
      <c r="GL41" s="61"/>
      <c r="GM41" s="61">
        <v>0</v>
      </c>
    </row>
    <row r="42" spans="1:195">
      <c r="A42" s="62">
        <v>41</v>
      </c>
      <c r="B42" s="61" t="s">
        <v>460</v>
      </c>
      <c r="C42" s="61" t="s">
        <v>461</v>
      </c>
      <c r="D42" s="61" t="s">
        <v>197</v>
      </c>
      <c r="E42" s="61"/>
      <c r="F42" s="61">
        <v>46</v>
      </c>
      <c r="G42" s="61"/>
      <c r="H42" s="61"/>
      <c r="I42" s="61"/>
      <c r="J42" s="61"/>
      <c r="K42" s="61"/>
      <c r="L42" s="65" t="s">
        <v>659</v>
      </c>
      <c r="M42" s="61" t="s">
        <v>660</v>
      </c>
      <c r="N42" s="61"/>
      <c r="O42" s="61"/>
      <c r="P42" s="61" t="s">
        <v>198</v>
      </c>
      <c r="Q42" s="61">
        <v>0</v>
      </c>
      <c r="R42" s="61"/>
      <c r="S42" s="61" t="s">
        <v>199</v>
      </c>
      <c r="T42" s="61">
        <v>1</v>
      </c>
      <c r="U42" s="61"/>
      <c r="V42" s="61" t="s">
        <v>200</v>
      </c>
      <c r="W42" s="61">
        <v>1</v>
      </c>
      <c r="X42" s="61"/>
      <c r="Y42" s="61" t="s">
        <v>289</v>
      </c>
      <c r="Z42" s="61">
        <v>0</v>
      </c>
      <c r="AA42" s="61"/>
      <c r="AB42" s="61" t="s">
        <v>290</v>
      </c>
      <c r="AC42" s="61"/>
      <c r="AD42" s="61">
        <v>1</v>
      </c>
      <c r="AE42" s="61" t="s">
        <v>203</v>
      </c>
      <c r="AF42" s="61"/>
      <c r="AG42" s="61">
        <v>1</v>
      </c>
      <c r="AH42" s="61" t="s">
        <v>263</v>
      </c>
      <c r="AI42" s="61"/>
      <c r="AJ42" s="61">
        <v>0</v>
      </c>
      <c r="AK42" s="61" t="s">
        <v>205</v>
      </c>
      <c r="AL42" s="61"/>
      <c r="AM42" s="61">
        <v>1</v>
      </c>
      <c r="AN42" s="61" t="s">
        <v>291</v>
      </c>
      <c r="AO42" s="61"/>
      <c r="AP42" s="61">
        <v>0</v>
      </c>
      <c r="AQ42" s="61" t="s">
        <v>207</v>
      </c>
      <c r="AR42" s="61"/>
      <c r="AS42" s="61">
        <v>1</v>
      </c>
      <c r="AT42" s="61" t="s">
        <v>208</v>
      </c>
      <c r="AU42" s="61"/>
      <c r="AV42" s="61">
        <v>1</v>
      </c>
      <c r="AW42" s="61" t="s">
        <v>293</v>
      </c>
      <c r="AX42" s="61"/>
      <c r="AY42" s="61">
        <v>0</v>
      </c>
      <c r="AZ42" s="61" t="s">
        <v>404</v>
      </c>
      <c r="BA42" s="61"/>
      <c r="BB42" s="61">
        <v>0</v>
      </c>
      <c r="BC42" s="61" t="s">
        <v>211</v>
      </c>
      <c r="BD42" s="61"/>
      <c r="BE42" s="61">
        <v>1</v>
      </c>
      <c r="BF42" s="61" t="s">
        <v>267</v>
      </c>
      <c r="BG42" s="61"/>
      <c r="BH42" s="61">
        <v>0</v>
      </c>
      <c r="BI42" s="61" t="s">
        <v>213</v>
      </c>
      <c r="BJ42" s="61"/>
      <c r="BK42" s="61">
        <v>1</v>
      </c>
      <c r="BL42" s="61" t="s">
        <v>214</v>
      </c>
      <c r="BM42" s="61"/>
      <c r="BN42" s="61">
        <v>1</v>
      </c>
      <c r="BO42" s="61" t="s">
        <v>215</v>
      </c>
      <c r="BP42" s="61"/>
      <c r="BQ42" s="61">
        <v>1</v>
      </c>
      <c r="BR42" s="61" t="s">
        <v>216</v>
      </c>
      <c r="BS42" s="61"/>
      <c r="BT42" s="61">
        <v>1</v>
      </c>
      <c r="BU42" s="61" t="s">
        <v>317</v>
      </c>
      <c r="BV42" s="61">
        <v>0</v>
      </c>
      <c r="BW42" s="61"/>
      <c r="BX42" s="61" t="s">
        <v>218</v>
      </c>
      <c r="BY42" s="61">
        <v>1</v>
      </c>
      <c r="BZ42" s="61"/>
      <c r="CA42" s="61" t="s">
        <v>219</v>
      </c>
      <c r="CB42" s="61">
        <v>1</v>
      </c>
      <c r="CC42" s="61"/>
      <c r="CD42" s="61" t="s">
        <v>271</v>
      </c>
      <c r="CE42" s="61">
        <v>1</v>
      </c>
      <c r="CF42" s="61"/>
      <c r="CG42" s="61" t="s">
        <v>221</v>
      </c>
      <c r="CH42" s="61">
        <v>1</v>
      </c>
      <c r="CI42" s="61"/>
      <c r="CJ42" s="61" t="s">
        <v>222</v>
      </c>
      <c r="CK42" s="61"/>
      <c r="CL42" s="61">
        <v>1</v>
      </c>
      <c r="CM42" s="61" t="s">
        <v>223</v>
      </c>
      <c r="CN42" s="61"/>
      <c r="CO42" s="61">
        <v>1</v>
      </c>
      <c r="CP42" s="61" t="s">
        <v>224</v>
      </c>
      <c r="CQ42" s="61"/>
      <c r="CR42" s="61">
        <v>1</v>
      </c>
      <c r="CS42" s="61" t="s">
        <v>225</v>
      </c>
      <c r="CT42" s="61"/>
      <c r="CU42" s="61">
        <v>1</v>
      </c>
      <c r="CV42" s="61" t="s">
        <v>226</v>
      </c>
      <c r="CW42" s="61"/>
      <c r="CX42" s="61">
        <v>1</v>
      </c>
      <c r="CY42" s="61" t="s">
        <v>227</v>
      </c>
      <c r="CZ42" s="61"/>
      <c r="DA42" s="61">
        <v>1</v>
      </c>
      <c r="DB42" s="61" t="s">
        <v>228</v>
      </c>
      <c r="DC42" s="61"/>
      <c r="DD42" s="61">
        <v>1</v>
      </c>
      <c r="DE42" s="61" t="s">
        <v>229</v>
      </c>
      <c r="DF42" s="61"/>
      <c r="DG42" s="61">
        <v>1</v>
      </c>
      <c r="DH42" s="61" t="s">
        <v>230</v>
      </c>
      <c r="DI42" s="61"/>
      <c r="DJ42" s="61">
        <v>1</v>
      </c>
      <c r="DK42" s="61" t="s">
        <v>231</v>
      </c>
      <c r="DL42" s="61"/>
      <c r="DM42" s="61">
        <v>1</v>
      </c>
      <c r="DN42" s="61" t="s">
        <v>232</v>
      </c>
      <c r="DO42" s="61"/>
      <c r="DP42" s="61">
        <v>1</v>
      </c>
      <c r="DQ42" s="61" t="s">
        <v>233</v>
      </c>
      <c r="DR42" s="61"/>
      <c r="DS42" s="61">
        <v>1</v>
      </c>
      <c r="DT42" s="61" t="s">
        <v>234</v>
      </c>
      <c r="DU42" s="61"/>
      <c r="DV42" s="61">
        <v>1</v>
      </c>
      <c r="DW42" s="61" t="s">
        <v>235</v>
      </c>
      <c r="DX42" s="61"/>
      <c r="DY42" s="61">
        <v>1</v>
      </c>
      <c r="DZ42" s="61" t="s">
        <v>328</v>
      </c>
      <c r="EA42" s="61"/>
      <c r="EB42" s="61">
        <v>0</v>
      </c>
      <c r="EC42" s="61" t="s">
        <v>237</v>
      </c>
      <c r="ED42" s="61"/>
      <c r="EE42" s="61">
        <v>1</v>
      </c>
      <c r="EF42" s="61" t="s">
        <v>238</v>
      </c>
      <c r="EG42" s="61"/>
      <c r="EH42" s="61">
        <v>1</v>
      </c>
      <c r="EI42" s="61" t="s">
        <v>239</v>
      </c>
      <c r="EJ42" s="61"/>
      <c r="EK42" s="61">
        <v>1</v>
      </c>
      <c r="EL42" s="61" t="s">
        <v>240</v>
      </c>
      <c r="EM42" s="61"/>
      <c r="EN42" s="61">
        <v>1</v>
      </c>
      <c r="EO42" s="61" t="s">
        <v>241</v>
      </c>
      <c r="EP42" s="61"/>
      <c r="EQ42" s="61">
        <v>1</v>
      </c>
      <c r="ER42" s="61" t="s">
        <v>278</v>
      </c>
      <c r="ES42" s="61"/>
      <c r="ET42" s="61">
        <v>0</v>
      </c>
      <c r="EU42" s="61" t="s">
        <v>243</v>
      </c>
      <c r="EV42" s="61"/>
      <c r="EW42" s="61">
        <v>1</v>
      </c>
      <c r="EX42" s="61" t="s">
        <v>340</v>
      </c>
      <c r="EY42" s="61"/>
      <c r="EZ42" s="61">
        <v>0</v>
      </c>
      <c r="FA42" s="61" t="s">
        <v>321</v>
      </c>
      <c r="FB42" s="61"/>
      <c r="FC42" s="61">
        <v>0</v>
      </c>
      <c r="FD42" s="61" t="s">
        <v>246</v>
      </c>
      <c r="FE42" s="61"/>
      <c r="FF42" s="61">
        <v>1</v>
      </c>
      <c r="FG42" s="61" t="s">
        <v>247</v>
      </c>
      <c r="FH42" s="61"/>
      <c r="FI42" s="61">
        <v>1</v>
      </c>
      <c r="FJ42" s="61" t="s">
        <v>310</v>
      </c>
      <c r="FK42" s="61"/>
      <c r="FL42" s="61">
        <v>0</v>
      </c>
      <c r="FM42" s="61" t="s">
        <v>311</v>
      </c>
      <c r="FN42" s="61"/>
      <c r="FO42" s="61">
        <v>0</v>
      </c>
      <c r="FP42" s="61" t="s">
        <v>250</v>
      </c>
      <c r="FQ42" s="61"/>
      <c r="FR42" s="61">
        <v>1</v>
      </c>
      <c r="FS42" s="61" t="s">
        <v>251</v>
      </c>
      <c r="FT42" s="61"/>
      <c r="FU42" s="61">
        <v>1</v>
      </c>
      <c r="FV42" s="61" t="s">
        <v>252</v>
      </c>
      <c r="FW42" s="61"/>
      <c r="FX42" s="61">
        <v>1</v>
      </c>
      <c r="FY42" s="61" t="s">
        <v>253</v>
      </c>
      <c r="FZ42" s="61"/>
      <c r="GA42" s="61">
        <v>1</v>
      </c>
      <c r="GB42" s="61" t="s">
        <v>254</v>
      </c>
      <c r="GC42" s="61"/>
      <c r="GD42" s="61">
        <v>1</v>
      </c>
      <c r="GE42" s="61" t="s">
        <v>255</v>
      </c>
      <c r="GF42" s="61"/>
      <c r="GG42" s="61">
        <v>1</v>
      </c>
      <c r="GH42" s="61" t="s">
        <v>256</v>
      </c>
      <c r="GI42" s="61"/>
      <c r="GJ42" s="61">
        <v>1</v>
      </c>
      <c r="GK42" s="61" t="s">
        <v>257</v>
      </c>
      <c r="GL42" s="61"/>
      <c r="GM42" s="61">
        <v>1</v>
      </c>
    </row>
    <row r="43" spans="1:195">
      <c r="A43" s="62">
        <v>42</v>
      </c>
      <c r="B43" s="61" t="s">
        <v>462</v>
      </c>
      <c r="C43" s="61" t="s">
        <v>463</v>
      </c>
      <c r="D43" s="61" t="s">
        <v>197</v>
      </c>
      <c r="E43" s="61"/>
      <c r="F43" s="61">
        <v>28</v>
      </c>
      <c r="G43" s="61"/>
      <c r="H43" s="61"/>
      <c r="I43" s="61"/>
      <c r="J43" s="61"/>
      <c r="K43" s="61"/>
      <c r="L43" s="65" t="s">
        <v>661</v>
      </c>
      <c r="M43" s="61" t="s">
        <v>662</v>
      </c>
      <c r="N43" s="61"/>
      <c r="O43" s="61"/>
      <c r="P43" s="61" t="s">
        <v>364</v>
      </c>
      <c r="Q43" s="61">
        <v>0</v>
      </c>
      <c r="R43" s="61"/>
      <c r="S43" s="61" t="s">
        <v>199</v>
      </c>
      <c r="T43" s="61">
        <v>1</v>
      </c>
      <c r="U43" s="61"/>
      <c r="V43" s="61" t="s">
        <v>302</v>
      </c>
      <c r="W43" s="61">
        <v>0</v>
      </c>
      <c r="X43" s="61"/>
      <c r="Y43" s="61" t="s">
        <v>261</v>
      </c>
      <c r="Z43" s="61">
        <v>1</v>
      </c>
      <c r="AA43" s="61"/>
      <c r="AB43" s="61" t="s">
        <v>290</v>
      </c>
      <c r="AC43" s="61"/>
      <c r="AD43" s="61">
        <v>1</v>
      </c>
      <c r="AE43" s="61" t="s">
        <v>203</v>
      </c>
      <c r="AF43" s="61"/>
      <c r="AG43" s="61">
        <v>1</v>
      </c>
      <c r="AH43" s="61" t="s">
        <v>204</v>
      </c>
      <c r="AI43" s="61"/>
      <c r="AJ43" s="61">
        <v>1</v>
      </c>
      <c r="AK43" s="61" t="s">
        <v>205</v>
      </c>
      <c r="AL43" s="61"/>
      <c r="AM43" s="61">
        <v>1</v>
      </c>
      <c r="AN43" s="61" t="s">
        <v>206</v>
      </c>
      <c r="AO43" s="61"/>
      <c r="AP43" s="61">
        <v>1</v>
      </c>
      <c r="AQ43" s="61" t="s">
        <v>207</v>
      </c>
      <c r="AR43" s="61"/>
      <c r="AS43" s="61">
        <v>1</v>
      </c>
      <c r="AT43" s="61" t="s">
        <v>208</v>
      </c>
      <c r="AU43" s="61"/>
      <c r="AV43" s="61">
        <v>1</v>
      </c>
      <c r="AW43" s="61" t="s">
        <v>265</v>
      </c>
      <c r="AX43" s="61"/>
      <c r="AY43" s="61">
        <v>0</v>
      </c>
      <c r="AZ43" s="61" t="s">
        <v>210</v>
      </c>
      <c r="BA43" s="61"/>
      <c r="BB43" s="61">
        <v>1</v>
      </c>
      <c r="BC43" s="61" t="s">
        <v>211</v>
      </c>
      <c r="BD43" s="61"/>
      <c r="BE43" s="61">
        <v>1</v>
      </c>
      <c r="BF43" s="61" t="s">
        <v>212</v>
      </c>
      <c r="BG43" s="61"/>
      <c r="BH43" s="61">
        <v>1</v>
      </c>
      <c r="BI43" s="61" t="s">
        <v>213</v>
      </c>
      <c r="BJ43" s="61"/>
      <c r="BK43" s="61">
        <v>1</v>
      </c>
      <c r="BL43" s="61" t="s">
        <v>214</v>
      </c>
      <c r="BM43" s="61"/>
      <c r="BN43" s="61">
        <v>1</v>
      </c>
      <c r="BO43" s="61" t="s">
        <v>215</v>
      </c>
      <c r="BP43" s="61"/>
      <c r="BQ43" s="61">
        <v>1</v>
      </c>
      <c r="BR43" s="61" t="s">
        <v>216</v>
      </c>
      <c r="BS43" s="61"/>
      <c r="BT43" s="61">
        <v>1</v>
      </c>
      <c r="BU43" s="61" t="s">
        <v>217</v>
      </c>
      <c r="BV43" s="61">
        <v>1</v>
      </c>
      <c r="BW43" s="61"/>
      <c r="BX43" s="61" t="s">
        <v>269</v>
      </c>
      <c r="BY43" s="61">
        <v>0</v>
      </c>
      <c r="BZ43" s="61"/>
      <c r="CA43" s="61" t="s">
        <v>327</v>
      </c>
      <c r="CB43" s="61">
        <v>0</v>
      </c>
      <c r="CC43" s="61"/>
      <c r="CD43" s="61" t="s">
        <v>220</v>
      </c>
      <c r="CE43" s="61">
        <v>0</v>
      </c>
      <c r="CF43" s="61"/>
      <c r="CG43" s="61" t="s">
        <v>221</v>
      </c>
      <c r="CH43" s="61">
        <v>1</v>
      </c>
      <c r="CI43" s="61"/>
      <c r="CJ43" s="61" t="s">
        <v>222</v>
      </c>
      <c r="CK43" s="61"/>
      <c r="CL43" s="61">
        <v>1</v>
      </c>
      <c r="CM43" s="61" t="s">
        <v>223</v>
      </c>
      <c r="CN43" s="61"/>
      <c r="CO43" s="61">
        <v>1</v>
      </c>
      <c r="CP43" s="61" t="s">
        <v>224</v>
      </c>
      <c r="CQ43" s="61"/>
      <c r="CR43" s="61">
        <v>1</v>
      </c>
      <c r="CS43" s="61" t="s">
        <v>225</v>
      </c>
      <c r="CT43" s="61"/>
      <c r="CU43" s="61">
        <v>1</v>
      </c>
      <c r="CV43" s="61" t="s">
        <v>226</v>
      </c>
      <c r="CW43" s="61"/>
      <c r="CX43" s="61">
        <v>1</v>
      </c>
      <c r="CY43" s="61" t="s">
        <v>227</v>
      </c>
      <c r="CZ43" s="61"/>
      <c r="DA43" s="61">
        <v>1</v>
      </c>
      <c r="DB43" s="61" t="s">
        <v>228</v>
      </c>
      <c r="DC43" s="61"/>
      <c r="DD43" s="61">
        <v>1</v>
      </c>
      <c r="DE43" s="61" t="s">
        <v>273</v>
      </c>
      <c r="DF43" s="61"/>
      <c r="DG43" s="61">
        <v>0</v>
      </c>
      <c r="DH43" s="61" t="s">
        <v>230</v>
      </c>
      <c r="DI43" s="61"/>
      <c r="DJ43" s="61">
        <v>1</v>
      </c>
      <c r="DK43" s="61" t="s">
        <v>231</v>
      </c>
      <c r="DL43" s="61"/>
      <c r="DM43" s="61">
        <v>1</v>
      </c>
      <c r="DN43" s="61" t="s">
        <v>232</v>
      </c>
      <c r="DO43" s="61"/>
      <c r="DP43" s="61">
        <v>1</v>
      </c>
      <c r="DQ43" s="61" t="s">
        <v>347</v>
      </c>
      <c r="DR43" s="61"/>
      <c r="DS43" s="61">
        <v>0</v>
      </c>
      <c r="DT43" s="61" t="s">
        <v>459</v>
      </c>
      <c r="DU43" s="61"/>
      <c r="DV43" s="61">
        <v>0</v>
      </c>
      <c r="DW43" s="61" t="s">
        <v>437</v>
      </c>
      <c r="DX43" s="61"/>
      <c r="DY43" s="61">
        <v>0</v>
      </c>
      <c r="DZ43" s="61" t="s">
        <v>275</v>
      </c>
      <c r="EA43" s="61"/>
      <c r="EB43" s="61">
        <v>0</v>
      </c>
      <c r="EC43" s="61"/>
      <c r="ED43" s="61"/>
      <c r="EE43" s="61">
        <v>0</v>
      </c>
      <c r="EF43" s="61"/>
      <c r="EG43" s="61"/>
      <c r="EH43" s="61">
        <v>0</v>
      </c>
      <c r="EI43" s="61"/>
      <c r="EJ43" s="61"/>
      <c r="EK43" s="61">
        <v>0</v>
      </c>
      <c r="EL43" s="61"/>
      <c r="EM43" s="61"/>
      <c r="EN43" s="61">
        <v>0</v>
      </c>
      <c r="EO43" s="61"/>
      <c r="EP43" s="61"/>
      <c r="EQ43" s="61">
        <v>0</v>
      </c>
      <c r="ER43" s="61"/>
      <c r="ES43" s="61"/>
      <c r="ET43" s="61">
        <v>0</v>
      </c>
      <c r="EU43" s="61"/>
      <c r="EV43" s="61"/>
      <c r="EW43" s="61">
        <v>0</v>
      </c>
      <c r="EX43" s="61"/>
      <c r="EY43" s="61"/>
      <c r="EZ43" s="61">
        <v>0</v>
      </c>
      <c r="FA43" s="61"/>
      <c r="FB43" s="61"/>
      <c r="FC43" s="61">
        <v>0</v>
      </c>
      <c r="FD43" s="61"/>
      <c r="FE43" s="61"/>
      <c r="FF43" s="61">
        <v>0</v>
      </c>
      <c r="FG43" s="61"/>
      <c r="FH43" s="61"/>
      <c r="FI43" s="61">
        <v>0</v>
      </c>
      <c r="FJ43" s="61"/>
      <c r="FK43" s="61"/>
      <c r="FL43" s="61">
        <v>0</v>
      </c>
      <c r="FM43" s="61"/>
      <c r="FN43" s="61"/>
      <c r="FO43" s="61">
        <v>0</v>
      </c>
      <c r="FP43" s="61"/>
      <c r="FQ43" s="61"/>
      <c r="FR43" s="61">
        <v>0</v>
      </c>
      <c r="FS43" s="61"/>
      <c r="FT43" s="61"/>
      <c r="FU43" s="61">
        <v>0</v>
      </c>
      <c r="FV43" s="61"/>
      <c r="FW43" s="61"/>
      <c r="FX43" s="61">
        <v>0</v>
      </c>
      <c r="FY43" s="61"/>
      <c r="FZ43" s="61"/>
      <c r="GA43" s="61">
        <v>0</v>
      </c>
      <c r="GB43" s="61"/>
      <c r="GC43" s="61"/>
      <c r="GD43" s="61">
        <v>0</v>
      </c>
      <c r="GE43" s="61"/>
      <c r="GF43" s="61"/>
      <c r="GG43" s="61">
        <v>0</v>
      </c>
      <c r="GH43" s="61"/>
      <c r="GI43" s="61"/>
      <c r="GJ43" s="61">
        <v>0</v>
      </c>
      <c r="GK43" s="61"/>
      <c r="GL43" s="61"/>
      <c r="GM43" s="61">
        <v>0</v>
      </c>
    </row>
    <row r="44" spans="1:195">
      <c r="A44" s="62">
        <v>43</v>
      </c>
      <c r="B44" s="61" t="s">
        <v>464</v>
      </c>
      <c r="C44" s="61" t="s">
        <v>465</v>
      </c>
      <c r="D44" s="61" t="s">
        <v>197</v>
      </c>
      <c r="E44" s="61"/>
      <c r="F44" s="61">
        <v>43</v>
      </c>
      <c r="G44" s="61"/>
      <c r="H44" s="61"/>
      <c r="I44" s="61"/>
      <c r="J44" s="61"/>
      <c r="K44" s="61"/>
      <c r="L44" s="65" t="s">
        <v>663</v>
      </c>
      <c r="M44" s="61" t="s">
        <v>664</v>
      </c>
      <c r="N44" s="61"/>
      <c r="O44" s="61"/>
      <c r="P44" s="61" t="s">
        <v>198</v>
      </c>
      <c r="Q44" s="61">
        <v>0</v>
      </c>
      <c r="R44" s="61"/>
      <c r="S44" s="61" t="s">
        <v>199</v>
      </c>
      <c r="T44" s="61">
        <v>1</v>
      </c>
      <c r="U44" s="61"/>
      <c r="V44" s="61" t="s">
        <v>302</v>
      </c>
      <c r="W44" s="61">
        <v>0</v>
      </c>
      <c r="X44" s="61"/>
      <c r="Y44" s="61" t="s">
        <v>325</v>
      </c>
      <c r="Z44" s="61">
        <v>0</v>
      </c>
      <c r="AA44" s="61"/>
      <c r="AB44" s="61" t="s">
        <v>290</v>
      </c>
      <c r="AC44" s="61"/>
      <c r="AD44" s="61">
        <v>1</v>
      </c>
      <c r="AE44" s="61" t="s">
        <v>203</v>
      </c>
      <c r="AF44" s="61"/>
      <c r="AG44" s="61">
        <v>1</v>
      </c>
      <c r="AH44" s="61" t="s">
        <v>263</v>
      </c>
      <c r="AI44" s="61"/>
      <c r="AJ44" s="61">
        <v>0</v>
      </c>
      <c r="AK44" s="61" t="s">
        <v>205</v>
      </c>
      <c r="AL44" s="61"/>
      <c r="AM44" s="61">
        <v>1</v>
      </c>
      <c r="AN44" s="61" t="s">
        <v>206</v>
      </c>
      <c r="AO44" s="61"/>
      <c r="AP44" s="61">
        <v>1</v>
      </c>
      <c r="AQ44" s="61" t="s">
        <v>207</v>
      </c>
      <c r="AR44" s="61"/>
      <c r="AS44" s="61">
        <v>1</v>
      </c>
      <c r="AT44" s="61" t="s">
        <v>292</v>
      </c>
      <c r="AU44" s="61"/>
      <c r="AV44" s="61">
        <v>0</v>
      </c>
      <c r="AW44" s="61" t="s">
        <v>305</v>
      </c>
      <c r="AX44" s="61"/>
      <c r="AY44" s="61">
        <v>0</v>
      </c>
      <c r="AZ44" s="61" t="s">
        <v>210</v>
      </c>
      <c r="BA44" s="61"/>
      <c r="BB44" s="61">
        <v>1</v>
      </c>
      <c r="BC44" s="61" t="s">
        <v>211</v>
      </c>
      <c r="BD44" s="61"/>
      <c r="BE44" s="61">
        <v>1</v>
      </c>
      <c r="BF44" s="61" t="s">
        <v>388</v>
      </c>
      <c r="BG44" s="61"/>
      <c r="BH44" s="61">
        <v>0</v>
      </c>
      <c r="BI44" s="61" t="s">
        <v>213</v>
      </c>
      <c r="BJ44" s="61"/>
      <c r="BK44" s="61">
        <v>1</v>
      </c>
      <c r="BL44" s="61" t="s">
        <v>214</v>
      </c>
      <c r="BM44" s="61"/>
      <c r="BN44" s="61">
        <v>1</v>
      </c>
      <c r="BO44" s="61" t="s">
        <v>215</v>
      </c>
      <c r="BP44" s="61"/>
      <c r="BQ44" s="61">
        <v>1</v>
      </c>
      <c r="BR44" s="61" t="s">
        <v>216</v>
      </c>
      <c r="BS44" s="61"/>
      <c r="BT44" s="61">
        <v>1</v>
      </c>
      <c r="BU44" s="61" t="s">
        <v>217</v>
      </c>
      <c r="BV44" s="61">
        <v>1</v>
      </c>
      <c r="BW44" s="61"/>
      <c r="BX44" s="61" t="s">
        <v>218</v>
      </c>
      <c r="BY44" s="61">
        <v>1</v>
      </c>
      <c r="BZ44" s="61"/>
      <c r="CA44" s="61" t="s">
        <v>219</v>
      </c>
      <c r="CB44" s="61">
        <v>1</v>
      </c>
      <c r="CC44" s="61"/>
      <c r="CD44" s="61" t="s">
        <v>271</v>
      </c>
      <c r="CE44" s="61">
        <v>1</v>
      </c>
      <c r="CF44" s="61"/>
      <c r="CG44" s="61" t="s">
        <v>221</v>
      </c>
      <c r="CH44" s="61">
        <v>1</v>
      </c>
      <c r="CI44" s="61"/>
      <c r="CJ44" s="61" t="s">
        <v>222</v>
      </c>
      <c r="CK44" s="61"/>
      <c r="CL44" s="61">
        <v>1</v>
      </c>
      <c r="CM44" s="61" t="s">
        <v>223</v>
      </c>
      <c r="CN44" s="61"/>
      <c r="CO44" s="61">
        <v>1</v>
      </c>
      <c r="CP44" s="61" t="s">
        <v>224</v>
      </c>
      <c r="CQ44" s="61"/>
      <c r="CR44" s="61">
        <v>1</v>
      </c>
      <c r="CS44" s="61" t="s">
        <v>307</v>
      </c>
      <c r="CT44" s="61"/>
      <c r="CU44" s="61">
        <v>0</v>
      </c>
      <c r="CV44" s="61" t="s">
        <v>226</v>
      </c>
      <c r="CW44" s="61"/>
      <c r="CX44" s="61">
        <v>1</v>
      </c>
      <c r="CY44" s="61" t="s">
        <v>227</v>
      </c>
      <c r="CZ44" s="61"/>
      <c r="DA44" s="61">
        <v>1</v>
      </c>
      <c r="DB44" s="61" t="s">
        <v>228</v>
      </c>
      <c r="DC44" s="61"/>
      <c r="DD44" s="61">
        <v>1</v>
      </c>
      <c r="DE44" s="61" t="s">
        <v>296</v>
      </c>
      <c r="DF44" s="61"/>
      <c r="DG44" s="61">
        <v>0</v>
      </c>
      <c r="DH44" s="61" t="s">
        <v>274</v>
      </c>
      <c r="DI44" s="61"/>
      <c r="DJ44" s="61">
        <v>0</v>
      </c>
      <c r="DK44" s="61" t="s">
        <v>231</v>
      </c>
      <c r="DL44" s="61"/>
      <c r="DM44" s="61">
        <v>1</v>
      </c>
      <c r="DN44" s="61" t="s">
        <v>232</v>
      </c>
      <c r="DO44" s="61"/>
      <c r="DP44" s="61">
        <v>1</v>
      </c>
      <c r="DQ44" s="61" t="s">
        <v>233</v>
      </c>
      <c r="DR44" s="61"/>
      <c r="DS44" s="61">
        <v>1</v>
      </c>
      <c r="DT44" s="61" t="s">
        <v>234</v>
      </c>
      <c r="DU44" s="61"/>
      <c r="DV44" s="61">
        <v>1</v>
      </c>
      <c r="DW44" s="61" t="s">
        <v>235</v>
      </c>
      <c r="DX44" s="61"/>
      <c r="DY44" s="61">
        <v>1</v>
      </c>
      <c r="DZ44" s="61" t="s">
        <v>236</v>
      </c>
      <c r="EA44" s="61"/>
      <c r="EB44" s="61">
        <v>1</v>
      </c>
      <c r="EC44" s="61" t="s">
        <v>237</v>
      </c>
      <c r="ED44" s="61"/>
      <c r="EE44" s="61">
        <v>1</v>
      </c>
      <c r="EF44" s="61" t="s">
        <v>238</v>
      </c>
      <c r="EG44" s="61"/>
      <c r="EH44" s="61">
        <v>1</v>
      </c>
      <c r="EI44" s="61" t="s">
        <v>239</v>
      </c>
      <c r="EJ44" s="61"/>
      <c r="EK44" s="61">
        <v>1</v>
      </c>
      <c r="EL44" s="61" t="s">
        <v>277</v>
      </c>
      <c r="EM44" s="61"/>
      <c r="EN44" s="61">
        <v>0</v>
      </c>
      <c r="EO44" s="61" t="s">
        <v>353</v>
      </c>
      <c r="EP44" s="61"/>
      <c r="EQ44" s="61">
        <v>0</v>
      </c>
      <c r="ER44" s="61" t="s">
        <v>278</v>
      </c>
      <c r="ES44" s="61"/>
      <c r="ET44" s="61">
        <v>0</v>
      </c>
      <c r="EU44" s="61" t="s">
        <v>243</v>
      </c>
      <c r="EV44" s="61"/>
      <c r="EW44" s="61">
        <v>1</v>
      </c>
      <c r="EX44" s="61" t="s">
        <v>244</v>
      </c>
      <c r="EY44" s="61"/>
      <c r="EZ44" s="61">
        <v>1</v>
      </c>
      <c r="FA44" s="61" t="s">
        <v>245</v>
      </c>
      <c r="FB44" s="61"/>
      <c r="FC44" s="61">
        <v>1</v>
      </c>
      <c r="FD44" s="61" t="s">
        <v>246</v>
      </c>
      <c r="FE44" s="61"/>
      <c r="FF44" s="61">
        <v>1</v>
      </c>
      <c r="FG44" s="61" t="s">
        <v>331</v>
      </c>
      <c r="FH44" s="61"/>
      <c r="FI44" s="61">
        <v>0</v>
      </c>
      <c r="FJ44" s="61" t="s">
        <v>298</v>
      </c>
      <c r="FK44" s="61"/>
      <c r="FL44" s="61">
        <v>1</v>
      </c>
      <c r="FM44" s="61" t="s">
        <v>249</v>
      </c>
      <c r="FN44" s="61"/>
      <c r="FO44" s="61">
        <v>1</v>
      </c>
      <c r="FP44" s="61" t="s">
        <v>250</v>
      </c>
      <c r="FQ44" s="61"/>
      <c r="FR44" s="61">
        <v>1</v>
      </c>
      <c r="FS44" s="61" t="s">
        <v>283</v>
      </c>
      <c r="FT44" s="61"/>
      <c r="FU44" s="61">
        <v>0</v>
      </c>
      <c r="FV44" s="61" t="s">
        <v>466</v>
      </c>
      <c r="FW44" s="61"/>
      <c r="FX44" s="61">
        <v>0</v>
      </c>
      <c r="FY44" s="61" t="s">
        <v>253</v>
      </c>
      <c r="FZ44" s="61"/>
      <c r="GA44" s="61">
        <v>1</v>
      </c>
      <c r="GB44" s="61" t="s">
        <v>254</v>
      </c>
      <c r="GC44" s="61"/>
      <c r="GD44" s="61">
        <v>1</v>
      </c>
      <c r="GE44" s="61" t="s">
        <v>255</v>
      </c>
      <c r="GF44" s="61"/>
      <c r="GG44" s="61">
        <v>1</v>
      </c>
      <c r="GH44" s="61" t="s">
        <v>256</v>
      </c>
      <c r="GI44" s="61"/>
      <c r="GJ44" s="61">
        <v>1</v>
      </c>
      <c r="GK44" s="61" t="s">
        <v>286</v>
      </c>
      <c r="GL44" s="61"/>
      <c r="GM44" s="61">
        <v>0</v>
      </c>
    </row>
    <row r="45" spans="1:195">
      <c r="A45" s="62">
        <v>44</v>
      </c>
      <c r="B45" s="61" t="s">
        <v>467</v>
      </c>
      <c r="C45" s="61" t="s">
        <v>468</v>
      </c>
      <c r="D45" s="61" t="s">
        <v>197</v>
      </c>
      <c r="E45" s="61"/>
      <c r="F45" s="61">
        <v>39</v>
      </c>
      <c r="G45" s="61"/>
      <c r="H45" s="61"/>
      <c r="I45" s="61"/>
      <c r="J45" s="61"/>
      <c r="K45" s="61"/>
      <c r="L45" s="65" t="s">
        <v>665</v>
      </c>
      <c r="M45" s="61" t="s">
        <v>666</v>
      </c>
      <c r="N45" s="61"/>
      <c r="O45" s="61"/>
      <c r="P45" s="61" t="s">
        <v>364</v>
      </c>
      <c r="Q45" s="61">
        <v>0</v>
      </c>
      <c r="R45" s="61"/>
      <c r="S45" s="61" t="s">
        <v>199</v>
      </c>
      <c r="T45" s="61">
        <v>1</v>
      </c>
      <c r="U45" s="61"/>
      <c r="V45" s="61" t="s">
        <v>200</v>
      </c>
      <c r="W45" s="61">
        <v>1</v>
      </c>
      <c r="X45" s="61"/>
      <c r="Y45" s="61" t="s">
        <v>354</v>
      </c>
      <c r="Z45" s="61">
        <v>0</v>
      </c>
      <c r="AA45" s="61"/>
      <c r="AB45" s="61" t="s">
        <v>336</v>
      </c>
      <c r="AC45" s="61"/>
      <c r="AD45" s="61">
        <v>0</v>
      </c>
      <c r="AE45" s="61" t="s">
        <v>262</v>
      </c>
      <c r="AF45" s="61"/>
      <c r="AG45" s="61">
        <v>0</v>
      </c>
      <c r="AH45" s="61" t="s">
        <v>204</v>
      </c>
      <c r="AI45" s="61"/>
      <c r="AJ45" s="61">
        <v>1</v>
      </c>
      <c r="AK45" s="61" t="s">
        <v>205</v>
      </c>
      <c r="AL45" s="61"/>
      <c r="AM45" s="61">
        <v>1</v>
      </c>
      <c r="AN45" s="61" t="s">
        <v>206</v>
      </c>
      <c r="AO45" s="61"/>
      <c r="AP45" s="61">
        <v>1</v>
      </c>
      <c r="AQ45" s="61" t="s">
        <v>207</v>
      </c>
      <c r="AR45" s="61"/>
      <c r="AS45" s="61">
        <v>1</v>
      </c>
      <c r="AT45" s="61" t="s">
        <v>292</v>
      </c>
      <c r="AU45" s="61"/>
      <c r="AV45" s="61">
        <v>0</v>
      </c>
      <c r="AW45" s="61" t="s">
        <v>305</v>
      </c>
      <c r="AX45" s="61"/>
      <c r="AY45" s="61">
        <v>0</v>
      </c>
      <c r="AZ45" s="61" t="s">
        <v>210</v>
      </c>
      <c r="BA45" s="61"/>
      <c r="BB45" s="61">
        <v>1</v>
      </c>
      <c r="BC45" s="61" t="s">
        <v>211</v>
      </c>
      <c r="BD45" s="61"/>
      <c r="BE45" s="61">
        <v>1</v>
      </c>
      <c r="BF45" s="61" t="s">
        <v>354</v>
      </c>
      <c r="BG45" s="61"/>
      <c r="BH45" s="61">
        <v>0</v>
      </c>
      <c r="BI45" s="61" t="s">
        <v>213</v>
      </c>
      <c r="BJ45" s="61"/>
      <c r="BK45" s="61">
        <v>1</v>
      </c>
      <c r="BL45" s="61" t="s">
        <v>214</v>
      </c>
      <c r="BM45" s="61"/>
      <c r="BN45" s="61">
        <v>1</v>
      </c>
      <c r="BO45" s="61" t="s">
        <v>215</v>
      </c>
      <c r="BP45" s="61"/>
      <c r="BQ45" s="61">
        <v>1</v>
      </c>
      <c r="BR45" s="61" t="s">
        <v>216</v>
      </c>
      <c r="BS45" s="61"/>
      <c r="BT45" s="61">
        <v>1</v>
      </c>
      <c r="BU45" s="61" t="s">
        <v>217</v>
      </c>
      <c r="BV45" s="61">
        <v>1</v>
      </c>
      <c r="BW45" s="61"/>
      <c r="BX45" s="61" t="s">
        <v>218</v>
      </c>
      <c r="BY45" s="61">
        <v>1</v>
      </c>
      <c r="BZ45" s="61"/>
      <c r="CA45" s="61" t="s">
        <v>295</v>
      </c>
      <c r="CB45" s="61">
        <v>0</v>
      </c>
      <c r="CC45" s="61"/>
      <c r="CD45" s="61" t="s">
        <v>271</v>
      </c>
      <c r="CE45" s="61">
        <v>1</v>
      </c>
      <c r="CF45" s="61"/>
      <c r="CG45" s="61" t="s">
        <v>221</v>
      </c>
      <c r="CH45" s="61">
        <v>1</v>
      </c>
      <c r="CI45" s="61"/>
      <c r="CJ45" s="61" t="s">
        <v>222</v>
      </c>
      <c r="CK45" s="61"/>
      <c r="CL45" s="61">
        <v>1</v>
      </c>
      <c r="CM45" s="61" t="s">
        <v>223</v>
      </c>
      <c r="CN45" s="61"/>
      <c r="CO45" s="61">
        <v>1</v>
      </c>
      <c r="CP45" s="61" t="s">
        <v>224</v>
      </c>
      <c r="CQ45" s="61"/>
      <c r="CR45" s="61">
        <v>1</v>
      </c>
      <c r="CS45" s="61" t="s">
        <v>225</v>
      </c>
      <c r="CT45" s="61"/>
      <c r="CU45" s="61">
        <v>1</v>
      </c>
      <c r="CV45" s="61" t="s">
        <v>226</v>
      </c>
      <c r="CW45" s="61"/>
      <c r="CX45" s="61">
        <v>1</v>
      </c>
      <c r="CY45" s="61" t="s">
        <v>227</v>
      </c>
      <c r="CZ45" s="61"/>
      <c r="DA45" s="61">
        <v>1</v>
      </c>
      <c r="DB45" s="61" t="s">
        <v>228</v>
      </c>
      <c r="DC45" s="61"/>
      <c r="DD45" s="61">
        <v>1</v>
      </c>
      <c r="DE45" s="61" t="s">
        <v>229</v>
      </c>
      <c r="DF45" s="61"/>
      <c r="DG45" s="61">
        <v>1</v>
      </c>
      <c r="DH45" s="61" t="s">
        <v>230</v>
      </c>
      <c r="DI45" s="61"/>
      <c r="DJ45" s="61">
        <v>1</v>
      </c>
      <c r="DK45" s="61" t="s">
        <v>231</v>
      </c>
      <c r="DL45" s="61"/>
      <c r="DM45" s="61">
        <v>1</v>
      </c>
      <c r="DN45" s="61" t="s">
        <v>232</v>
      </c>
      <c r="DO45" s="61"/>
      <c r="DP45" s="61">
        <v>1</v>
      </c>
      <c r="DQ45" s="61" t="s">
        <v>347</v>
      </c>
      <c r="DR45" s="61"/>
      <c r="DS45" s="61">
        <v>0</v>
      </c>
      <c r="DT45" s="61" t="s">
        <v>234</v>
      </c>
      <c r="DU45" s="61"/>
      <c r="DV45" s="61">
        <v>1</v>
      </c>
      <c r="DW45" s="61" t="s">
        <v>235</v>
      </c>
      <c r="DX45" s="61"/>
      <c r="DY45" s="61">
        <v>1</v>
      </c>
      <c r="DZ45" s="61" t="s">
        <v>275</v>
      </c>
      <c r="EA45" s="61"/>
      <c r="EB45" s="61">
        <v>0</v>
      </c>
      <c r="EC45" s="61" t="s">
        <v>237</v>
      </c>
      <c r="ED45" s="61"/>
      <c r="EE45" s="61">
        <v>1</v>
      </c>
      <c r="EF45" s="61" t="s">
        <v>320</v>
      </c>
      <c r="EG45" s="61"/>
      <c r="EH45" s="61">
        <v>0</v>
      </c>
      <c r="EI45" s="61" t="s">
        <v>239</v>
      </c>
      <c r="EJ45" s="61"/>
      <c r="EK45" s="61">
        <v>1</v>
      </c>
      <c r="EL45" s="61" t="s">
        <v>277</v>
      </c>
      <c r="EM45" s="61"/>
      <c r="EN45" s="61">
        <v>0</v>
      </c>
      <c r="EO45" s="61" t="s">
        <v>329</v>
      </c>
      <c r="EP45" s="61"/>
      <c r="EQ45" s="61">
        <v>0</v>
      </c>
      <c r="ER45" s="61" t="s">
        <v>242</v>
      </c>
      <c r="ES45" s="61"/>
      <c r="ET45" s="61">
        <v>1</v>
      </c>
      <c r="EU45" s="61" t="s">
        <v>243</v>
      </c>
      <c r="EV45" s="61"/>
      <c r="EW45" s="61">
        <v>1</v>
      </c>
      <c r="EX45" s="61" t="s">
        <v>244</v>
      </c>
      <c r="EY45" s="61"/>
      <c r="EZ45" s="61">
        <v>1</v>
      </c>
      <c r="FA45" s="61" t="s">
        <v>245</v>
      </c>
      <c r="FB45" s="61"/>
      <c r="FC45" s="61">
        <v>1</v>
      </c>
      <c r="FD45" s="61" t="s">
        <v>246</v>
      </c>
      <c r="FE45" s="61"/>
      <c r="FF45" s="61">
        <v>1</v>
      </c>
      <c r="FG45" s="61" t="s">
        <v>331</v>
      </c>
      <c r="FH45" s="61"/>
      <c r="FI45" s="61">
        <v>0</v>
      </c>
      <c r="FJ45" s="61" t="s">
        <v>298</v>
      </c>
      <c r="FK45" s="61"/>
      <c r="FL45" s="61">
        <v>1</v>
      </c>
      <c r="FM45" s="61" t="s">
        <v>311</v>
      </c>
      <c r="FN45" s="61"/>
      <c r="FO45" s="61">
        <v>0</v>
      </c>
      <c r="FP45" s="61" t="s">
        <v>332</v>
      </c>
      <c r="FQ45" s="61"/>
      <c r="FR45" s="61">
        <v>0</v>
      </c>
      <c r="FS45" s="61" t="s">
        <v>283</v>
      </c>
      <c r="FT45" s="61"/>
      <c r="FU45" s="61">
        <v>0</v>
      </c>
      <c r="FV45" s="61" t="s">
        <v>252</v>
      </c>
      <c r="FW45" s="61"/>
      <c r="FX45" s="61">
        <v>1</v>
      </c>
      <c r="FY45" s="61" t="s">
        <v>253</v>
      </c>
      <c r="FZ45" s="61"/>
      <c r="GA45" s="61">
        <v>1</v>
      </c>
      <c r="GB45" s="61" t="s">
        <v>333</v>
      </c>
      <c r="GC45" s="61"/>
      <c r="GD45" s="61">
        <v>0</v>
      </c>
      <c r="GE45" s="61" t="s">
        <v>284</v>
      </c>
      <c r="GF45" s="61"/>
      <c r="GG45" s="61">
        <v>0</v>
      </c>
      <c r="GH45" s="61"/>
      <c r="GI45" s="61"/>
      <c r="GJ45" s="61">
        <v>0</v>
      </c>
      <c r="GK45" s="61"/>
      <c r="GL45" s="61"/>
      <c r="GM45" s="61">
        <v>0</v>
      </c>
    </row>
    <row r="46" spans="1:195">
      <c r="A46" s="62">
        <v>45</v>
      </c>
      <c r="B46" s="61" t="s">
        <v>469</v>
      </c>
      <c r="C46" s="61" t="s">
        <v>470</v>
      </c>
      <c r="D46" s="61" t="s">
        <v>197</v>
      </c>
      <c r="E46" s="61"/>
      <c r="F46" s="61">
        <v>38</v>
      </c>
      <c r="G46" s="61"/>
      <c r="H46" s="61"/>
      <c r="I46" s="61"/>
      <c r="J46" s="61"/>
      <c r="K46" s="61"/>
      <c r="L46" s="65" t="s">
        <v>667</v>
      </c>
      <c r="M46" s="61" t="s">
        <v>668</v>
      </c>
      <c r="N46" s="61"/>
      <c r="O46" s="61"/>
      <c r="P46" s="61" t="s">
        <v>198</v>
      </c>
      <c r="Q46" s="61">
        <v>0</v>
      </c>
      <c r="R46" s="61"/>
      <c r="S46" s="61" t="s">
        <v>199</v>
      </c>
      <c r="T46" s="61">
        <v>1</v>
      </c>
      <c r="U46" s="61"/>
      <c r="V46" s="61" t="s">
        <v>200</v>
      </c>
      <c r="W46" s="61">
        <v>1</v>
      </c>
      <c r="X46" s="61"/>
      <c r="Y46" s="61" t="s">
        <v>261</v>
      </c>
      <c r="Z46" s="61">
        <v>1</v>
      </c>
      <c r="AA46" s="61"/>
      <c r="AB46" s="61" t="s">
        <v>202</v>
      </c>
      <c r="AC46" s="61"/>
      <c r="AD46" s="61">
        <v>0</v>
      </c>
      <c r="AE46" s="61" t="s">
        <v>203</v>
      </c>
      <c r="AF46" s="61"/>
      <c r="AG46" s="61">
        <v>1</v>
      </c>
      <c r="AH46" s="61" t="s">
        <v>303</v>
      </c>
      <c r="AI46" s="61"/>
      <c r="AJ46" s="61">
        <v>0</v>
      </c>
      <c r="AK46" s="61" t="s">
        <v>264</v>
      </c>
      <c r="AL46" s="61"/>
      <c r="AM46" s="61">
        <v>0</v>
      </c>
      <c r="AN46" s="61" t="s">
        <v>206</v>
      </c>
      <c r="AO46" s="61"/>
      <c r="AP46" s="61">
        <v>1</v>
      </c>
      <c r="AQ46" s="61" t="s">
        <v>207</v>
      </c>
      <c r="AR46" s="61"/>
      <c r="AS46" s="61">
        <v>1</v>
      </c>
      <c r="AT46" s="61" t="s">
        <v>338</v>
      </c>
      <c r="AU46" s="61"/>
      <c r="AV46" s="61">
        <v>0</v>
      </c>
      <c r="AW46" s="61" t="s">
        <v>293</v>
      </c>
      <c r="AX46" s="61"/>
      <c r="AY46" s="61">
        <v>0</v>
      </c>
      <c r="AZ46" s="61" t="s">
        <v>210</v>
      </c>
      <c r="BA46" s="61"/>
      <c r="BB46" s="61">
        <v>1</v>
      </c>
      <c r="BC46" s="61" t="s">
        <v>211</v>
      </c>
      <c r="BD46" s="61"/>
      <c r="BE46" s="61">
        <v>1</v>
      </c>
      <c r="BF46" s="61" t="s">
        <v>212</v>
      </c>
      <c r="BG46" s="61"/>
      <c r="BH46" s="61">
        <v>1</v>
      </c>
      <c r="BI46" s="61" t="s">
        <v>213</v>
      </c>
      <c r="BJ46" s="61"/>
      <c r="BK46" s="61">
        <v>1</v>
      </c>
      <c r="BL46" s="61" t="s">
        <v>214</v>
      </c>
      <c r="BM46" s="61"/>
      <c r="BN46" s="61">
        <v>1</v>
      </c>
      <c r="BO46" s="61" t="s">
        <v>215</v>
      </c>
      <c r="BP46" s="61"/>
      <c r="BQ46" s="61">
        <v>1</v>
      </c>
      <c r="BR46" s="61" t="s">
        <v>216</v>
      </c>
      <c r="BS46" s="61"/>
      <c r="BT46" s="61">
        <v>1</v>
      </c>
      <c r="BU46" s="61" t="s">
        <v>217</v>
      </c>
      <c r="BV46" s="61">
        <v>1</v>
      </c>
      <c r="BW46" s="61"/>
      <c r="BX46" s="61" t="s">
        <v>218</v>
      </c>
      <c r="BY46" s="61">
        <v>1</v>
      </c>
      <c r="BZ46" s="61"/>
      <c r="CA46" s="61" t="s">
        <v>295</v>
      </c>
      <c r="CB46" s="61">
        <v>0</v>
      </c>
      <c r="CC46" s="61"/>
      <c r="CD46" s="61" t="s">
        <v>271</v>
      </c>
      <c r="CE46" s="61">
        <v>1</v>
      </c>
      <c r="CF46" s="61"/>
      <c r="CG46" s="61" t="s">
        <v>221</v>
      </c>
      <c r="CH46" s="61">
        <v>1</v>
      </c>
      <c r="CI46" s="61"/>
      <c r="CJ46" s="61" t="s">
        <v>222</v>
      </c>
      <c r="CK46" s="61"/>
      <c r="CL46" s="61">
        <v>1</v>
      </c>
      <c r="CM46" s="61" t="s">
        <v>223</v>
      </c>
      <c r="CN46" s="61"/>
      <c r="CO46" s="61">
        <v>1</v>
      </c>
      <c r="CP46" s="61" t="s">
        <v>224</v>
      </c>
      <c r="CQ46" s="61"/>
      <c r="CR46" s="61">
        <v>1</v>
      </c>
      <c r="CS46" s="61" t="s">
        <v>225</v>
      </c>
      <c r="CT46" s="61"/>
      <c r="CU46" s="61">
        <v>1</v>
      </c>
      <c r="CV46" s="61" t="s">
        <v>226</v>
      </c>
      <c r="CW46" s="61"/>
      <c r="CX46" s="61">
        <v>1</v>
      </c>
      <c r="CY46" s="61" t="s">
        <v>227</v>
      </c>
      <c r="CZ46" s="61"/>
      <c r="DA46" s="61">
        <v>1</v>
      </c>
      <c r="DB46" s="61" t="s">
        <v>228</v>
      </c>
      <c r="DC46" s="61"/>
      <c r="DD46" s="61">
        <v>1</v>
      </c>
      <c r="DE46" s="61" t="s">
        <v>296</v>
      </c>
      <c r="DF46" s="61"/>
      <c r="DG46" s="61">
        <v>0</v>
      </c>
      <c r="DH46" s="61" t="s">
        <v>230</v>
      </c>
      <c r="DI46" s="61"/>
      <c r="DJ46" s="61">
        <v>1</v>
      </c>
      <c r="DK46" s="61" t="s">
        <v>231</v>
      </c>
      <c r="DL46" s="61"/>
      <c r="DM46" s="61">
        <v>1</v>
      </c>
      <c r="DN46" s="61" t="s">
        <v>232</v>
      </c>
      <c r="DO46" s="61"/>
      <c r="DP46" s="61">
        <v>1</v>
      </c>
      <c r="DQ46" s="61" t="s">
        <v>347</v>
      </c>
      <c r="DR46" s="61"/>
      <c r="DS46" s="61">
        <v>0</v>
      </c>
      <c r="DT46" s="61" t="s">
        <v>234</v>
      </c>
      <c r="DU46" s="61"/>
      <c r="DV46" s="61">
        <v>1</v>
      </c>
      <c r="DW46" s="61" t="s">
        <v>235</v>
      </c>
      <c r="DX46" s="61"/>
      <c r="DY46" s="61">
        <v>1</v>
      </c>
      <c r="DZ46" s="61" t="s">
        <v>328</v>
      </c>
      <c r="EA46" s="61"/>
      <c r="EB46" s="61">
        <v>0</v>
      </c>
      <c r="EC46" s="61" t="s">
        <v>297</v>
      </c>
      <c r="ED46" s="61"/>
      <c r="EE46" s="61">
        <v>0</v>
      </c>
      <c r="EF46" s="61" t="s">
        <v>238</v>
      </c>
      <c r="EG46" s="61"/>
      <c r="EH46" s="61">
        <v>1</v>
      </c>
      <c r="EI46" s="61" t="s">
        <v>239</v>
      </c>
      <c r="EJ46" s="61"/>
      <c r="EK46" s="61">
        <v>1</v>
      </c>
      <c r="EL46" s="61" t="s">
        <v>240</v>
      </c>
      <c r="EM46" s="61"/>
      <c r="EN46" s="61">
        <v>1</v>
      </c>
      <c r="EO46" s="61" t="s">
        <v>241</v>
      </c>
      <c r="EP46" s="61"/>
      <c r="EQ46" s="61">
        <v>1</v>
      </c>
      <c r="ER46" s="61" t="s">
        <v>278</v>
      </c>
      <c r="ES46" s="61"/>
      <c r="ET46" s="61">
        <v>0</v>
      </c>
      <c r="EU46" s="61" t="s">
        <v>243</v>
      </c>
      <c r="EV46" s="61"/>
      <c r="EW46" s="61">
        <v>1</v>
      </c>
      <c r="EX46" s="61" t="s">
        <v>244</v>
      </c>
      <c r="EY46" s="61"/>
      <c r="EZ46" s="61">
        <v>1</v>
      </c>
      <c r="FA46" s="61" t="s">
        <v>321</v>
      </c>
      <c r="FB46" s="61"/>
      <c r="FC46" s="61">
        <v>0</v>
      </c>
      <c r="FD46" s="61" t="s">
        <v>246</v>
      </c>
      <c r="FE46" s="61"/>
      <c r="FF46" s="61">
        <v>1</v>
      </c>
      <c r="FG46" s="61" t="s">
        <v>331</v>
      </c>
      <c r="FH46" s="61"/>
      <c r="FI46" s="61">
        <v>0</v>
      </c>
      <c r="FJ46" s="61" t="s">
        <v>310</v>
      </c>
      <c r="FK46" s="61"/>
      <c r="FL46" s="61">
        <v>0</v>
      </c>
      <c r="FM46" s="61" t="s">
        <v>311</v>
      </c>
      <c r="FN46" s="61"/>
      <c r="FO46" s="61">
        <v>0</v>
      </c>
      <c r="FP46" s="61" t="s">
        <v>471</v>
      </c>
      <c r="FQ46" s="61"/>
      <c r="FR46" s="61">
        <v>0</v>
      </c>
      <c r="FS46" s="61" t="s">
        <v>251</v>
      </c>
      <c r="FT46" s="61"/>
      <c r="FU46" s="61">
        <v>1</v>
      </c>
      <c r="FV46" s="61" t="s">
        <v>252</v>
      </c>
      <c r="FW46" s="61"/>
      <c r="FX46" s="61">
        <v>1</v>
      </c>
      <c r="FY46" s="61" t="s">
        <v>472</v>
      </c>
      <c r="FZ46" s="61"/>
      <c r="GA46" s="61">
        <v>0</v>
      </c>
      <c r="GB46" s="61" t="s">
        <v>389</v>
      </c>
      <c r="GC46" s="61"/>
      <c r="GD46" s="61">
        <v>0</v>
      </c>
      <c r="GE46" s="61"/>
      <c r="GF46" s="61"/>
      <c r="GG46" s="61">
        <v>0</v>
      </c>
      <c r="GH46" s="61"/>
      <c r="GI46" s="61"/>
      <c r="GJ46" s="61">
        <v>0</v>
      </c>
      <c r="GK46" s="61"/>
      <c r="GL46" s="61"/>
      <c r="GM46" s="61">
        <v>0</v>
      </c>
    </row>
    <row r="47" spans="1:195">
      <c r="A47" s="62">
        <v>46</v>
      </c>
      <c r="B47" s="61" t="s">
        <v>473</v>
      </c>
      <c r="C47" s="61" t="s">
        <v>474</v>
      </c>
      <c r="D47" s="61" t="s">
        <v>197</v>
      </c>
      <c r="E47" s="61"/>
      <c r="F47" s="61">
        <v>43</v>
      </c>
      <c r="G47" s="61"/>
      <c r="H47" s="61"/>
      <c r="I47" s="61"/>
      <c r="J47" s="61"/>
      <c r="K47" s="61"/>
      <c r="L47" s="65" t="s">
        <v>669</v>
      </c>
      <c r="M47" s="61" t="s">
        <v>670</v>
      </c>
      <c r="N47" s="61"/>
      <c r="O47" s="61"/>
      <c r="P47" s="61" t="s">
        <v>358</v>
      </c>
      <c r="Q47" s="61">
        <v>0</v>
      </c>
      <c r="R47" s="61"/>
      <c r="S47" s="61" t="s">
        <v>199</v>
      </c>
      <c r="T47" s="61">
        <v>1</v>
      </c>
      <c r="U47" s="61"/>
      <c r="V47" s="61" t="s">
        <v>200</v>
      </c>
      <c r="W47" s="61">
        <v>1</v>
      </c>
      <c r="X47" s="61"/>
      <c r="Y47" s="61" t="s">
        <v>261</v>
      </c>
      <c r="Z47" s="61">
        <v>1</v>
      </c>
      <c r="AA47" s="61"/>
      <c r="AB47" s="61" t="s">
        <v>202</v>
      </c>
      <c r="AC47" s="61"/>
      <c r="AD47" s="61">
        <v>0</v>
      </c>
      <c r="AE47" s="61" t="s">
        <v>262</v>
      </c>
      <c r="AF47" s="61"/>
      <c r="AG47" s="61">
        <v>0</v>
      </c>
      <c r="AH47" s="61" t="s">
        <v>263</v>
      </c>
      <c r="AI47" s="61"/>
      <c r="AJ47" s="61">
        <v>0</v>
      </c>
      <c r="AK47" s="61" t="s">
        <v>264</v>
      </c>
      <c r="AL47" s="61"/>
      <c r="AM47" s="61">
        <v>0</v>
      </c>
      <c r="AN47" s="61" t="s">
        <v>206</v>
      </c>
      <c r="AO47" s="61"/>
      <c r="AP47" s="61">
        <v>1</v>
      </c>
      <c r="AQ47" s="61" t="s">
        <v>207</v>
      </c>
      <c r="AR47" s="61"/>
      <c r="AS47" s="61">
        <v>1</v>
      </c>
      <c r="AT47" s="61" t="s">
        <v>208</v>
      </c>
      <c r="AU47" s="61"/>
      <c r="AV47" s="61">
        <v>1</v>
      </c>
      <c r="AW47" s="61" t="s">
        <v>265</v>
      </c>
      <c r="AX47" s="61"/>
      <c r="AY47" s="61">
        <v>0</v>
      </c>
      <c r="AZ47" s="61" t="s">
        <v>210</v>
      </c>
      <c r="BA47" s="61"/>
      <c r="BB47" s="61">
        <v>1</v>
      </c>
      <c r="BC47" s="61" t="s">
        <v>211</v>
      </c>
      <c r="BD47" s="61"/>
      <c r="BE47" s="61">
        <v>1</v>
      </c>
      <c r="BF47" s="61" t="s">
        <v>212</v>
      </c>
      <c r="BG47" s="61"/>
      <c r="BH47" s="61">
        <v>1</v>
      </c>
      <c r="BI47" s="61" t="s">
        <v>213</v>
      </c>
      <c r="BJ47" s="61"/>
      <c r="BK47" s="61">
        <v>1</v>
      </c>
      <c r="BL47" s="61" t="s">
        <v>214</v>
      </c>
      <c r="BM47" s="61"/>
      <c r="BN47" s="61">
        <v>1</v>
      </c>
      <c r="BO47" s="61" t="s">
        <v>215</v>
      </c>
      <c r="BP47" s="61"/>
      <c r="BQ47" s="61">
        <v>1</v>
      </c>
      <c r="BR47" s="61" t="s">
        <v>216</v>
      </c>
      <c r="BS47" s="61"/>
      <c r="BT47" s="61">
        <v>1</v>
      </c>
      <c r="BU47" s="61" t="s">
        <v>217</v>
      </c>
      <c r="BV47" s="61">
        <v>1</v>
      </c>
      <c r="BW47" s="61"/>
      <c r="BX47" s="61" t="s">
        <v>218</v>
      </c>
      <c r="BY47" s="61">
        <v>1</v>
      </c>
      <c r="BZ47" s="61"/>
      <c r="CA47" s="61" t="s">
        <v>219</v>
      </c>
      <c r="CB47" s="61">
        <v>1</v>
      </c>
      <c r="CC47" s="61"/>
      <c r="CD47" s="61" t="s">
        <v>271</v>
      </c>
      <c r="CE47" s="61">
        <v>1</v>
      </c>
      <c r="CF47" s="61"/>
      <c r="CG47" s="61" t="s">
        <v>221</v>
      </c>
      <c r="CH47" s="61">
        <v>1</v>
      </c>
      <c r="CI47" s="61"/>
      <c r="CJ47" s="61" t="s">
        <v>222</v>
      </c>
      <c r="CK47" s="61"/>
      <c r="CL47" s="61">
        <v>1</v>
      </c>
      <c r="CM47" s="61" t="s">
        <v>223</v>
      </c>
      <c r="CN47" s="61"/>
      <c r="CO47" s="61">
        <v>1</v>
      </c>
      <c r="CP47" s="61" t="s">
        <v>224</v>
      </c>
      <c r="CQ47" s="61"/>
      <c r="CR47" s="61">
        <v>1</v>
      </c>
      <c r="CS47" s="61" t="s">
        <v>307</v>
      </c>
      <c r="CT47" s="61"/>
      <c r="CU47" s="61">
        <v>0</v>
      </c>
      <c r="CV47" s="61" t="s">
        <v>226</v>
      </c>
      <c r="CW47" s="61"/>
      <c r="CX47" s="61">
        <v>1</v>
      </c>
      <c r="CY47" s="61" t="s">
        <v>227</v>
      </c>
      <c r="CZ47" s="61"/>
      <c r="DA47" s="61">
        <v>1</v>
      </c>
      <c r="DB47" s="61" t="s">
        <v>228</v>
      </c>
      <c r="DC47" s="61"/>
      <c r="DD47" s="61">
        <v>1</v>
      </c>
      <c r="DE47" s="61" t="s">
        <v>296</v>
      </c>
      <c r="DF47" s="61"/>
      <c r="DG47" s="61">
        <v>0</v>
      </c>
      <c r="DH47" s="61" t="s">
        <v>475</v>
      </c>
      <c r="DI47" s="61"/>
      <c r="DJ47" s="61">
        <v>0</v>
      </c>
      <c r="DK47" s="61" t="s">
        <v>354</v>
      </c>
      <c r="DL47" s="61"/>
      <c r="DM47" s="61">
        <v>0</v>
      </c>
      <c r="DN47" s="61" t="s">
        <v>232</v>
      </c>
      <c r="DO47" s="61"/>
      <c r="DP47" s="61">
        <v>1</v>
      </c>
      <c r="DQ47" s="61" t="s">
        <v>347</v>
      </c>
      <c r="DR47" s="61"/>
      <c r="DS47" s="61">
        <v>0</v>
      </c>
      <c r="DT47" s="61" t="s">
        <v>234</v>
      </c>
      <c r="DU47" s="61"/>
      <c r="DV47" s="61">
        <v>1</v>
      </c>
      <c r="DW47" s="61" t="s">
        <v>437</v>
      </c>
      <c r="DX47" s="61"/>
      <c r="DY47" s="61">
        <v>0</v>
      </c>
      <c r="DZ47" s="61" t="s">
        <v>275</v>
      </c>
      <c r="EA47" s="61"/>
      <c r="EB47" s="61">
        <v>0</v>
      </c>
      <c r="EC47" s="61" t="s">
        <v>237</v>
      </c>
      <c r="ED47" s="61"/>
      <c r="EE47" s="61">
        <v>1</v>
      </c>
      <c r="EF47" s="61" t="s">
        <v>238</v>
      </c>
      <c r="EG47" s="61"/>
      <c r="EH47" s="61">
        <v>1</v>
      </c>
      <c r="EI47" s="61" t="s">
        <v>239</v>
      </c>
      <c r="EJ47" s="61"/>
      <c r="EK47" s="61">
        <v>1</v>
      </c>
      <c r="EL47" s="61" t="s">
        <v>240</v>
      </c>
      <c r="EM47" s="61"/>
      <c r="EN47" s="61">
        <v>1</v>
      </c>
      <c r="EO47" s="61" t="s">
        <v>241</v>
      </c>
      <c r="EP47" s="61"/>
      <c r="EQ47" s="61">
        <v>1</v>
      </c>
      <c r="ER47" s="61" t="s">
        <v>242</v>
      </c>
      <c r="ES47" s="61"/>
      <c r="ET47" s="61">
        <v>1</v>
      </c>
      <c r="EU47" s="61" t="s">
        <v>243</v>
      </c>
      <c r="EV47" s="61"/>
      <c r="EW47" s="61">
        <v>1</v>
      </c>
      <c r="EX47" s="61" t="s">
        <v>244</v>
      </c>
      <c r="EY47" s="61"/>
      <c r="EZ47" s="61">
        <v>1</v>
      </c>
      <c r="FA47" s="61" t="s">
        <v>245</v>
      </c>
      <c r="FB47" s="61"/>
      <c r="FC47" s="61">
        <v>1</v>
      </c>
      <c r="FD47" s="61" t="s">
        <v>246</v>
      </c>
      <c r="FE47" s="61"/>
      <c r="FF47" s="61">
        <v>1</v>
      </c>
      <c r="FG47" s="61" t="s">
        <v>247</v>
      </c>
      <c r="FH47" s="61"/>
      <c r="FI47" s="61">
        <v>1</v>
      </c>
      <c r="FJ47" s="61" t="s">
        <v>298</v>
      </c>
      <c r="FK47" s="61"/>
      <c r="FL47" s="61">
        <v>1</v>
      </c>
      <c r="FM47" s="61" t="s">
        <v>249</v>
      </c>
      <c r="FN47" s="61"/>
      <c r="FO47" s="61">
        <v>1</v>
      </c>
      <c r="FP47" s="61" t="s">
        <v>250</v>
      </c>
      <c r="FQ47" s="61"/>
      <c r="FR47" s="61">
        <v>1</v>
      </c>
      <c r="FS47" s="61" t="s">
        <v>283</v>
      </c>
      <c r="FT47" s="61"/>
      <c r="FU47" s="61">
        <v>0</v>
      </c>
      <c r="FV47" s="61" t="s">
        <v>252</v>
      </c>
      <c r="FW47" s="61"/>
      <c r="FX47" s="61">
        <v>1</v>
      </c>
      <c r="FY47" s="61" t="s">
        <v>253</v>
      </c>
      <c r="FZ47" s="61"/>
      <c r="GA47" s="61">
        <v>1</v>
      </c>
      <c r="GB47" s="61"/>
      <c r="GC47" s="61"/>
      <c r="GD47" s="61">
        <v>0</v>
      </c>
      <c r="GE47" s="61" t="s">
        <v>284</v>
      </c>
      <c r="GF47" s="61"/>
      <c r="GG47" s="61">
        <v>0</v>
      </c>
      <c r="GH47" s="61" t="s">
        <v>256</v>
      </c>
      <c r="GI47" s="61"/>
      <c r="GJ47" s="61">
        <v>1</v>
      </c>
      <c r="GK47" s="61" t="s">
        <v>286</v>
      </c>
      <c r="GL47" s="61"/>
      <c r="GM47" s="61">
        <v>0</v>
      </c>
    </row>
    <row r="48" spans="1:195">
      <c r="A48" s="62">
        <v>47</v>
      </c>
      <c r="B48" s="61" t="s">
        <v>476</v>
      </c>
      <c r="C48" s="61" t="s">
        <v>477</v>
      </c>
      <c r="D48" s="61" t="s">
        <v>197</v>
      </c>
      <c r="E48" s="61"/>
      <c r="F48" s="61">
        <v>41</v>
      </c>
      <c r="G48" s="61"/>
      <c r="H48" s="61"/>
      <c r="I48" s="61"/>
      <c r="J48" s="61"/>
      <c r="K48" s="61"/>
      <c r="L48" s="65" t="s">
        <v>671</v>
      </c>
      <c r="M48" s="61" t="s">
        <v>672</v>
      </c>
      <c r="N48" s="61"/>
      <c r="O48" s="61"/>
      <c r="P48" s="61" t="s">
        <v>198</v>
      </c>
      <c r="Q48" s="61">
        <v>0</v>
      </c>
      <c r="R48" s="61"/>
      <c r="S48" s="61" t="s">
        <v>199</v>
      </c>
      <c r="T48" s="61">
        <v>1</v>
      </c>
      <c r="U48" s="61"/>
      <c r="V48" s="61" t="s">
        <v>200</v>
      </c>
      <c r="W48" s="61">
        <v>1</v>
      </c>
      <c r="X48" s="61"/>
      <c r="Y48" s="61" t="s">
        <v>201</v>
      </c>
      <c r="Z48" s="61">
        <v>0</v>
      </c>
      <c r="AA48" s="61"/>
      <c r="AB48" s="61" t="s">
        <v>290</v>
      </c>
      <c r="AC48" s="61"/>
      <c r="AD48" s="61">
        <v>1</v>
      </c>
      <c r="AE48" s="61" t="s">
        <v>262</v>
      </c>
      <c r="AF48" s="61"/>
      <c r="AG48" s="61">
        <v>0</v>
      </c>
      <c r="AH48" s="61" t="s">
        <v>263</v>
      </c>
      <c r="AI48" s="61"/>
      <c r="AJ48" s="61">
        <v>0</v>
      </c>
      <c r="AK48" s="61" t="s">
        <v>205</v>
      </c>
      <c r="AL48" s="61"/>
      <c r="AM48" s="61">
        <v>1</v>
      </c>
      <c r="AN48" s="61" t="s">
        <v>291</v>
      </c>
      <c r="AO48" s="61"/>
      <c r="AP48" s="61">
        <v>0</v>
      </c>
      <c r="AQ48" s="61" t="s">
        <v>207</v>
      </c>
      <c r="AR48" s="61"/>
      <c r="AS48" s="61">
        <v>1</v>
      </c>
      <c r="AT48" s="61" t="s">
        <v>292</v>
      </c>
      <c r="AU48" s="61"/>
      <c r="AV48" s="61">
        <v>0</v>
      </c>
      <c r="AW48" s="61" t="s">
        <v>293</v>
      </c>
      <c r="AX48" s="61"/>
      <c r="AY48" s="61">
        <v>0</v>
      </c>
      <c r="AZ48" s="61" t="s">
        <v>210</v>
      </c>
      <c r="BA48" s="61"/>
      <c r="BB48" s="61">
        <v>1</v>
      </c>
      <c r="BC48" s="61" t="s">
        <v>211</v>
      </c>
      <c r="BD48" s="61"/>
      <c r="BE48" s="61">
        <v>1</v>
      </c>
      <c r="BF48" s="61" t="s">
        <v>212</v>
      </c>
      <c r="BG48" s="61"/>
      <c r="BH48" s="61">
        <v>1</v>
      </c>
      <c r="BI48" s="61" t="s">
        <v>213</v>
      </c>
      <c r="BJ48" s="61"/>
      <c r="BK48" s="61">
        <v>1</v>
      </c>
      <c r="BL48" s="61" t="s">
        <v>214</v>
      </c>
      <c r="BM48" s="61"/>
      <c r="BN48" s="61">
        <v>1</v>
      </c>
      <c r="BO48" s="61" t="s">
        <v>215</v>
      </c>
      <c r="BP48" s="61"/>
      <c r="BQ48" s="61">
        <v>1</v>
      </c>
      <c r="BR48" s="61" t="s">
        <v>216</v>
      </c>
      <c r="BS48" s="61"/>
      <c r="BT48" s="61">
        <v>1</v>
      </c>
      <c r="BU48" s="61" t="s">
        <v>217</v>
      </c>
      <c r="BV48" s="61">
        <v>1</v>
      </c>
      <c r="BW48" s="61"/>
      <c r="BX48" s="61" t="s">
        <v>218</v>
      </c>
      <c r="BY48" s="61">
        <v>1</v>
      </c>
      <c r="BZ48" s="61"/>
      <c r="CA48" s="61" t="s">
        <v>295</v>
      </c>
      <c r="CB48" s="61">
        <v>0</v>
      </c>
      <c r="CC48" s="61"/>
      <c r="CD48" s="61" t="s">
        <v>271</v>
      </c>
      <c r="CE48" s="61">
        <v>1</v>
      </c>
      <c r="CF48" s="61"/>
      <c r="CG48" s="61" t="s">
        <v>221</v>
      </c>
      <c r="CH48" s="61">
        <v>1</v>
      </c>
      <c r="CI48" s="61"/>
      <c r="CJ48" s="61" t="s">
        <v>222</v>
      </c>
      <c r="CK48" s="61"/>
      <c r="CL48" s="61">
        <v>1</v>
      </c>
      <c r="CM48" s="61" t="s">
        <v>223</v>
      </c>
      <c r="CN48" s="61"/>
      <c r="CO48" s="61">
        <v>1</v>
      </c>
      <c r="CP48" s="61" t="s">
        <v>224</v>
      </c>
      <c r="CQ48" s="61"/>
      <c r="CR48" s="61">
        <v>1</v>
      </c>
      <c r="CS48" s="61" t="s">
        <v>225</v>
      </c>
      <c r="CT48" s="61"/>
      <c r="CU48" s="61">
        <v>1</v>
      </c>
      <c r="CV48" s="61" t="s">
        <v>226</v>
      </c>
      <c r="CW48" s="61"/>
      <c r="CX48" s="61">
        <v>1</v>
      </c>
      <c r="CY48" s="61" t="s">
        <v>227</v>
      </c>
      <c r="CZ48" s="61"/>
      <c r="DA48" s="61">
        <v>1</v>
      </c>
      <c r="DB48" s="61" t="s">
        <v>228</v>
      </c>
      <c r="DC48" s="61"/>
      <c r="DD48" s="61">
        <v>1</v>
      </c>
      <c r="DE48" s="61" t="s">
        <v>478</v>
      </c>
      <c r="DF48" s="61"/>
      <c r="DG48" s="61">
        <v>0</v>
      </c>
      <c r="DH48" s="61" t="s">
        <v>274</v>
      </c>
      <c r="DI48" s="61"/>
      <c r="DJ48" s="61">
        <v>0</v>
      </c>
      <c r="DK48" s="61" t="s">
        <v>319</v>
      </c>
      <c r="DL48" s="61"/>
      <c r="DM48" s="61">
        <v>0</v>
      </c>
      <c r="DN48" s="61" t="s">
        <v>232</v>
      </c>
      <c r="DO48" s="61"/>
      <c r="DP48" s="61">
        <v>1</v>
      </c>
      <c r="DQ48" s="61" t="s">
        <v>233</v>
      </c>
      <c r="DR48" s="61"/>
      <c r="DS48" s="61">
        <v>1</v>
      </c>
      <c r="DT48" s="61" t="s">
        <v>234</v>
      </c>
      <c r="DU48" s="61"/>
      <c r="DV48" s="61">
        <v>1</v>
      </c>
      <c r="DW48" s="61" t="s">
        <v>235</v>
      </c>
      <c r="DX48" s="61"/>
      <c r="DY48" s="61">
        <v>1</v>
      </c>
      <c r="DZ48" s="61" t="s">
        <v>236</v>
      </c>
      <c r="EA48" s="61"/>
      <c r="EB48" s="61">
        <v>1</v>
      </c>
      <c r="EC48" s="61" t="s">
        <v>237</v>
      </c>
      <c r="ED48" s="61"/>
      <c r="EE48" s="61">
        <v>1</v>
      </c>
      <c r="EF48" s="61" t="s">
        <v>238</v>
      </c>
      <c r="EG48" s="61"/>
      <c r="EH48" s="61">
        <v>1</v>
      </c>
      <c r="EI48" s="61" t="s">
        <v>239</v>
      </c>
      <c r="EJ48" s="61"/>
      <c r="EK48" s="61">
        <v>1</v>
      </c>
      <c r="EL48" s="61" t="s">
        <v>240</v>
      </c>
      <c r="EM48" s="61"/>
      <c r="EN48" s="61">
        <v>1</v>
      </c>
      <c r="EO48" s="61" t="s">
        <v>329</v>
      </c>
      <c r="EP48" s="61"/>
      <c r="EQ48" s="61">
        <v>0</v>
      </c>
      <c r="ER48" s="61" t="s">
        <v>278</v>
      </c>
      <c r="ES48" s="61"/>
      <c r="ET48" s="61">
        <v>0</v>
      </c>
      <c r="EU48" s="61" t="s">
        <v>243</v>
      </c>
      <c r="EV48" s="61"/>
      <c r="EW48" s="61">
        <v>1</v>
      </c>
      <c r="EX48" s="61" t="s">
        <v>340</v>
      </c>
      <c r="EY48" s="61"/>
      <c r="EZ48" s="61">
        <v>0</v>
      </c>
      <c r="FA48" s="61" t="s">
        <v>321</v>
      </c>
      <c r="FB48" s="61"/>
      <c r="FC48" s="61">
        <v>0</v>
      </c>
      <c r="FD48" s="61" t="s">
        <v>246</v>
      </c>
      <c r="FE48" s="61"/>
      <c r="FF48" s="61">
        <v>1</v>
      </c>
      <c r="FG48" s="61" t="s">
        <v>247</v>
      </c>
      <c r="FH48" s="61"/>
      <c r="FI48" s="61">
        <v>1</v>
      </c>
      <c r="FJ48" s="61" t="s">
        <v>310</v>
      </c>
      <c r="FK48" s="61"/>
      <c r="FL48" s="61">
        <v>0</v>
      </c>
      <c r="FM48" s="61" t="s">
        <v>311</v>
      </c>
      <c r="FN48" s="61"/>
      <c r="FO48" s="61">
        <v>0</v>
      </c>
      <c r="FP48" s="61" t="s">
        <v>250</v>
      </c>
      <c r="FQ48" s="61"/>
      <c r="FR48" s="61">
        <v>1</v>
      </c>
      <c r="FS48" s="61" t="s">
        <v>426</v>
      </c>
      <c r="FT48" s="61"/>
      <c r="FU48" s="61">
        <v>0</v>
      </c>
      <c r="FV48" s="61" t="s">
        <v>252</v>
      </c>
      <c r="FW48" s="61"/>
      <c r="FX48" s="61">
        <v>1</v>
      </c>
      <c r="FY48" s="61" t="s">
        <v>253</v>
      </c>
      <c r="FZ48" s="61"/>
      <c r="GA48" s="61">
        <v>1</v>
      </c>
      <c r="GB48" s="61" t="s">
        <v>254</v>
      </c>
      <c r="GC48" s="61"/>
      <c r="GD48" s="61">
        <v>1</v>
      </c>
      <c r="GE48" s="61" t="s">
        <v>255</v>
      </c>
      <c r="GF48" s="61"/>
      <c r="GG48" s="61">
        <v>1</v>
      </c>
      <c r="GH48" s="61" t="s">
        <v>256</v>
      </c>
      <c r="GI48" s="61"/>
      <c r="GJ48" s="61">
        <v>1</v>
      </c>
      <c r="GK48" s="61" t="s">
        <v>286</v>
      </c>
      <c r="GL48" s="61"/>
      <c r="GM48" s="61">
        <v>0</v>
      </c>
    </row>
    <row r="49" spans="1:195">
      <c r="A49" s="62">
        <v>48</v>
      </c>
      <c r="B49" s="61" t="s">
        <v>479</v>
      </c>
      <c r="C49" s="61" t="s">
        <v>480</v>
      </c>
      <c r="D49" s="61" t="s">
        <v>197</v>
      </c>
      <c r="E49" s="61"/>
      <c r="F49" s="61">
        <v>29</v>
      </c>
      <c r="G49" s="61"/>
      <c r="H49" s="61"/>
      <c r="I49" s="61"/>
      <c r="J49" s="61"/>
      <c r="K49" s="61"/>
      <c r="L49" s="65" t="s">
        <v>673</v>
      </c>
      <c r="M49" s="61" t="s">
        <v>674</v>
      </c>
      <c r="N49" s="61"/>
      <c r="O49" s="61"/>
      <c r="P49" s="61" t="s">
        <v>198</v>
      </c>
      <c r="Q49" s="61">
        <v>0</v>
      </c>
      <c r="R49" s="61"/>
      <c r="S49" s="61" t="s">
        <v>199</v>
      </c>
      <c r="T49" s="61">
        <v>1</v>
      </c>
      <c r="U49" s="61"/>
      <c r="V49" s="61" t="s">
        <v>200</v>
      </c>
      <c r="W49" s="61">
        <v>1</v>
      </c>
      <c r="X49" s="61"/>
      <c r="Y49" s="61" t="s">
        <v>354</v>
      </c>
      <c r="Z49" s="61">
        <v>0</v>
      </c>
      <c r="AA49" s="61"/>
      <c r="AB49" s="61" t="s">
        <v>202</v>
      </c>
      <c r="AC49" s="61"/>
      <c r="AD49" s="61">
        <v>0</v>
      </c>
      <c r="AE49" s="61" t="s">
        <v>262</v>
      </c>
      <c r="AF49" s="61"/>
      <c r="AG49" s="61">
        <v>0</v>
      </c>
      <c r="AH49" s="61" t="s">
        <v>204</v>
      </c>
      <c r="AI49" s="61"/>
      <c r="AJ49" s="61">
        <v>1</v>
      </c>
      <c r="AK49" s="61" t="s">
        <v>354</v>
      </c>
      <c r="AL49" s="61"/>
      <c r="AM49" s="61">
        <v>0</v>
      </c>
      <c r="AN49" s="61" t="s">
        <v>291</v>
      </c>
      <c r="AO49" s="61"/>
      <c r="AP49" s="61">
        <v>0</v>
      </c>
      <c r="AQ49" s="61" t="s">
        <v>207</v>
      </c>
      <c r="AR49" s="61"/>
      <c r="AS49" s="61">
        <v>1</v>
      </c>
      <c r="AT49" s="61" t="s">
        <v>292</v>
      </c>
      <c r="AU49" s="61"/>
      <c r="AV49" s="61">
        <v>0</v>
      </c>
      <c r="AW49" s="61" t="s">
        <v>354</v>
      </c>
      <c r="AX49" s="61"/>
      <c r="AY49" s="61">
        <v>0</v>
      </c>
      <c r="AZ49" s="61" t="s">
        <v>210</v>
      </c>
      <c r="BA49" s="61"/>
      <c r="BB49" s="61">
        <v>1</v>
      </c>
      <c r="BC49" s="61" t="s">
        <v>211</v>
      </c>
      <c r="BD49" s="61"/>
      <c r="BE49" s="61">
        <v>1</v>
      </c>
      <c r="BF49" s="61" t="s">
        <v>212</v>
      </c>
      <c r="BG49" s="61"/>
      <c r="BH49" s="61">
        <v>1</v>
      </c>
      <c r="BI49" s="61" t="s">
        <v>213</v>
      </c>
      <c r="BJ49" s="61"/>
      <c r="BK49" s="61">
        <v>1</v>
      </c>
      <c r="BL49" s="61" t="s">
        <v>214</v>
      </c>
      <c r="BM49" s="61"/>
      <c r="BN49" s="61">
        <v>1</v>
      </c>
      <c r="BO49" s="61" t="s">
        <v>215</v>
      </c>
      <c r="BP49" s="61"/>
      <c r="BQ49" s="61">
        <v>1</v>
      </c>
      <c r="BR49" s="61" t="s">
        <v>216</v>
      </c>
      <c r="BS49" s="61"/>
      <c r="BT49" s="61">
        <v>1</v>
      </c>
      <c r="BU49" s="61" t="s">
        <v>354</v>
      </c>
      <c r="BV49" s="61">
        <v>0</v>
      </c>
      <c r="BW49" s="61"/>
      <c r="BX49" s="61" t="s">
        <v>218</v>
      </c>
      <c r="BY49" s="61">
        <v>1</v>
      </c>
      <c r="BZ49" s="61"/>
      <c r="CA49" s="61" t="s">
        <v>219</v>
      </c>
      <c r="CB49" s="61">
        <v>1</v>
      </c>
      <c r="CC49" s="61"/>
      <c r="CD49" s="61" t="s">
        <v>220</v>
      </c>
      <c r="CE49" s="61">
        <v>0</v>
      </c>
      <c r="CF49" s="61"/>
      <c r="CG49" s="61" t="s">
        <v>221</v>
      </c>
      <c r="CH49" s="61">
        <v>1</v>
      </c>
      <c r="CI49" s="61"/>
      <c r="CJ49" s="61" t="s">
        <v>222</v>
      </c>
      <c r="CK49" s="61"/>
      <c r="CL49" s="61">
        <v>1</v>
      </c>
      <c r="CM49" s="61" t="s">
        <v>354</v>
      </c>
      <c r="CN49" s="61"/>
      <c r="CO49" s="61">
        <v>0</v>
      </c>
      <c r="CP49" s="61" t="s">
        <v>224</v>
      </c>
      <c r="CQ49" s="61"/>
      <c r="CR49" s="61">
        <v>1</v>
      </c>
      <c r="CS49" s="61" t="s">
        <v>225</v>
      </c>
      <c r="CT49" s="61"/>
      <c r="CU49" s="61">
        <v>1</v>
      </c>
      <c r="CV49" s="61" t="s">
        <v>226</v>
      </c>
      <c r="CW49" s="61"/>
      <c r="CX49" s="61">
        <v>1</v>
      </c>
      <c r="CY49" s="61" t="s">
        <v>227</v>
      </c>
      <c r="CZ49" s="61"/>
      <c r="DA49" s="61">
        <v>1</v>
      </c>
      <c r="DB49" s="61" t="s">
        <v>228</v>
      </c>
      <c r="DC49" s="61"/>
      <c r="DD49" s="61">
        <v>1</v>
      </c>
      <c r="DE49" s="61" t="s">
        <v>354</v>
      </c>
      <c r="DF49" s="61"/>
      <c r="DG49" s="61">
        <v>0</v>
      </c>
      <c r="DH49" s="61" t="s">
        <v>230</v>
      </c>
      <c r="DI49" s="61"/>
      <c r="DJ49" s="61">
        <v>1</v>
      </c>
      <c r="DK49" s="61" t="s">
        <v>231</v>
      </c>
      <c r="DL49" s="61"/>
      <c r="DM49" s="61">
        <v>1</v>
      </c>
      <c r="DN49" s="61" t="s">
        <v>232</v>
      </c>
      <c r="DO49" s="61"/>
      <c r="DP49" s="61">
        <v>1</v>
      </c>
      <c r="DQ49" s="61" t="s">
        <v>233</v>
      </c>
      <c r="DR49" s="61"/>
      <c r="DS49" s="61">
        <v>1</v>
      </c>
      <c r="DT49" s="61" t="s">
        <v>459</v>
      </c>
      <c r="DU49" s="61"/>
      <c r="DV49" s="61">
        <v>0</v>
      </c>
      <c r="DW49" s="61" t="s">
        <v>354</v>
      </c>
      <c r="DX49" s="61"/>
      <c r="DY49" s="61">
        <v>0</v>
      </c>
      <c r="DZ49" s="61" t="s">
        <v>275</v>
      </c>
      <c r="EA49" s="61"/>
      <c r="EB49" s="61">
        <v>0</v>
      </c>
      <c r="EC49" s="61" t="s">
        <v>339</v>
      </c>
      <c r="ED49" s="61"/>
      <c r="EE49" s="61">
        <v>0</v>
      </c>
      <c r="EF49" s="61" t="s">
        <v>354</v>
      </c>
      <c r="EG49" s="61"/>
      <c r="EH49" s="61">
        <v>0</v>
      </c>
      <c r="EI49" s="61" t="s">
        <v>354</v>
      </c>
      <c r="EJ49" s="61"/>
      <c r="EK49" s="61">
        <v>0</v>
      </c>
      <c r="EL49" s="61" t="s">
        <v>240</v>
      </c>
      <c r="EM49" s="61"/>
      <c r="EN49" s="61">
        <v>1</v>
      </c>
      <c r="EO49" s="61" t="s">
        <v>329</v>
      </c>
      <c r="EP49" s="61"/>
      <c r="EQ49" s="61">
        <v>0</v>
      </c>
      <c r="ER49" s="61" t="s">
        <v>354</v>
      </c>
      <c r="ES49" s="61"/>
      <c r="ET49" s="61">
        <v>0</v>
      </c>
      <c r="EU49" s="61" t="s">
        <v>354</v>
      </c>
      <c r="EV49" s="61"/>
      <c r="EW49" s="61">
        <v>0</v>
      </c>
      <c r="EX49" s="61" t="s">
        <v>354</v>
      </c>
      <c r="EY49" s="61"/>
      <c r="EZ49" s="61">
        <v>0</v>
      </c>
      <c r="FA49" s="61" t="s">
        <v>354</v>
      </c>
      <c r="FB49" s="61"/>
      <c r="FC49" s="61">
        <v>0</v>
      </c>
      <c r="FD49" s="61" t="s">
        <v>281</v>
      </c>
      <c r="FE49" s="61"/>
      <c r="FF49" s="61">
        <v>0</v>
      </c>
      <c r="FG49" s="61" t="s">
        <v>440</v>
      </c>
      <c r="FH49" s="61"/>
      <c r="FI49" s="61">
        <v>0</v>
      </c>
      <c r="FJ49" s="61" t="s">
        <v>248</v>
      </c>
      <c r="FK49" s="61"/>
      <c r="FL49" s="61">
        <v>0</v>
      </c>
      <c r="FM49" s="61" t="s">
        <v>354</v>
      </c>
      <c r="FN49" s="61"/>
      <c r="FO49" s="61">
        <v>0</v>
      </c>
      <c r="FP49" s="61" t="s">
        <v>250</v>
      </c>
      <c r="FQ49" s="61"/>
      <c r="FR49" s="61">
        <v>1</v>
      </c>
      <c r="FS49" s="61" t="s">
        <v>251</v>
      </c>
      <c r="FT49" s="61"/>
      <c r="FU49" s="61">
        <v>1</v>
      </c>
      <c r="FV49" s="61" t="s">
        <v>252</v>
      </c>
      <c r="FW49" s="61"/>
      <c r="FX49" s="61">
        <v>1</v>
      </c>
      <c r="FY49" s="61" t="s">
        <v>253</v>
      </c>
      <c r="FZ49" s="61"/>
      <c r="GA49" s="61">
        <v>1</v>
      </c>
      <c r="GB49" s="61"/>
      <c r="GC49" s="61"/>
      <c r="GD49" s="61">
        <v>0</v>
      </c>
      <c r="GE49" s="61"/>
      <c r="GF49" s="61"/>
      <c r="GG49" s="61">
        <v>0</v>
      </c>
      <c r="GH49" s="61"/>
      <c r="GI49" s="61"/>
      <c r="GJ49" s="61">
        <v>0</v>
      </c>
      <c r="GK49" s="61"/>
      <c r="GL49" s="61"/>
      <c r="GM49" s="61">
        <v>0</v>
      </c>
    </row>
    <row r="50" spans="1:195">
      <c r="A50" s="62">
        <v>49</v>
      </c>
      <c r="B50" s="61" t="s">
        <v>481</v>
      </c>
      <c r="C50" s="61" t="s">
        <v>482</v>
      </c>
      <c r="D50" s="61" t="s">
        <v>197</v>
      </c>
      <c r="E50" s="61"/>
      <c r="F50" s="61">
        <v>48</v>
      </c>
      <c r="G50" s="61"/>
      <c r="H50" s="61"/>
      <c r="I50" s="61"/>
      <c r="J50" s="61"/>
      <c r="K50" s="61"/>
      <c r="L50" s="65" t="s">
        <v>675</v>
      </c>
      <c r="M50" s="61" t="s">
        <v>676</v>
      </c>
      <c r="N50" s="61"/>
      <c r="O50" s="61"/>
      <c r="P50" s="61" t="s">
        <v>364</v>
      </c>
      <c r="Q50" s="61">
        <v>0</v>
      </c>
      <c r="R50" s="61"/>
      <c r="S50" s="61" t="s">
        <v>199</v>
      </c>
      <c r="T50" s="61">
        <v>1</v>
      </c>
      <c r="U50" s="61"/>
      <c r="V50" s="61" t="s">
        <v>200</v>
      </c>
      <c r="W50" s="61">
        <v>1</v>
      </c>
      <c r="X50" s="61"/>
      <c r="Y50" s="61" t="s">
        <v>261</v>
      </c>
      <c r="Z50" s="61">
        <v>1</v>
      </c>
      <c r="AA50" s="61"/>
      <c r="AB50" s="61" t="s">
        <v>202</v>
      </c>
      <c r="AC50" s="61"/>
      <c r="AD50" s="61">
        <v>0</v>
      </c>
      <c r="AE50" s="61" t="s">
        <v>203</v>
      </c>
      <c r="AF50" s="61"/>
      <c r="AG50" s="61">
        <v>1</v>
      </c>
      <c r="AH50" s="61" t="s">
        <v>263</v>
      </c>
      <c r="AI50" s="61"/>
      <c r="AJ50" s="61">
        <v>0</v>
      </c>
      <c r="AK50" s="61" t="s">
        <v>205</v>
      </c>
      <c r="AL50" s="61"/>
      <c r="AM50" s="61">
        <v>1</v>
      </c>
      <c r="AN50" s="61" t="s">
        <v>206</v>
      </c>
      <c r="AO50" s="61"/>
      <c r="AP50" s="61">
        <v>1</v>
      </c>
      <c r="AQ50" s="61" t="s">
        <v>207</v>
      </c>
      <c r="AR50" s="61"/>
      <c r="AS50" s="61">
        <v>1</v>
      </c>
      <c r="AT50" s="61" t="s">
        <v>338</v>
      </c>
      <c r="AU50" s="61"/>
      <c r="AV50" s="61">
        <v>0</v>
      </c>
      <c r="AW50" s="61" t="s">
        <v>305</v>
      </c>
      <c r="AX50" s="61"/>
      <c r="AY50" s="61">
        <v>0</v>
      </c>
      <c r="AZ50" s="61" t="s">
        <v>210</v>
      </c>
      <c r="BA50" s="61"/>
      <c r="BB50" s="61">
        <v>1</v>
      </c>
      <c r="BC50" s="61" t="s">
        <v>211</v>
      </c>
      <c r="BD50" s="61"/>
      <c r="BE50" s="61">
        <v>1</v>
      </c>
      <c r="BF50" s="61" t="s">
        <v>212</v>
      </c>
      <c r="BG50" s="61"/>
      <c r="BH50" s="61">
        <v>1</v>
      </c>
      <c r="BI50" s="61" t="s">
        <v>213</v>
      </c>
      <c r="BJ50" s="61"/>
      <c r="BK50" s="61">
        <v>1</v>
      </c>
      <c r="BL50" s="61" t="s">
        <v>214</v>
      </c>
      <c r="BM50" s="61"/>
      <c r="BN50" s="61">
        <v>1</v>
      </c>
      <c r="BO50" s="61" t="s">
        <v>215</v>
      </c>
      <c r="BP50" s="61"/>
      <c r="BQ50" s="61">
        <v>1</v>
      </c>
      <c r="BR50" s="61" t="s">
        <v>216</v>
      </c>
      <c r="BS50" s="61"/>
      <c r="BT50" s="61">
        <v>1</v>
      </c>
      <c r="BU50" s="61" t="s">
        <v>217</v>
      </c>
      <c r="BV50" s="61">
        <v>1</v>
      </c>
      <c r="BW50" s="61"/>
      <c r="BX50" s="61" t="s">
        <v>218</v>
      </c>
      <c r="BY50" s="61">
        <v>1</v>
      </c>
      <c r="BZ50" s="61"/>
      <c r="CA50" s="61" t="s">
        <v>219</v>
      </c>
      <c r="CB50" s="61">
        <v>1</v>
      </c>
      <c r="CC50" s="61"/>
      <c r="CD50" s="61" t="s">
        <v>271</v>
      </c>
      <c r="CE50" s="61">
        <v>1</v>
      </c>
      <c r="CF50" s="61"/>
      <c r="CG50" s="61" t="s">
        <v>221</v>
      </c>
      <c r="CH50" s="61">
        <v>1</v>
      </c>
      <c r="CI50" s="61"/>
      <c r="CJ50" s="61" t="s">
        <v>222</v>
      </c>
      <c r="CK50" s="61"/>
      <c r="CL50" s="61">
        <v>1</v>
      </c>
      <c r="CM50" s="61" t="s">
        <v>223</v>
      </c>
      <c r="CN50" s="61"/>
      <c r="CO50" s="61">
        <v>1</v>
      </c>
      <c r="CP50" s="61" t="s">
        <v>224</v>
      </c>
      <c r="CQ50" s="61"/>
      <c r="CR50" s="61">
        <v>1</v>
      </c>
      <c r="CS50" s="61" t="s">
        <v>225</v>
      </c>
      <c r="CT50" s="61"/>
      <c r="CU50" s="61">
        <v>1</v>
      </c>
      <c r="CV50" s="61" t="s">
        <v>226</v>
      </c>
      <c r="CW50" s="61"/>
      <c r="CX50" s="61">
        <v>1</v>
      </c>
      <c r="CY50" s="61" t="s">
        <v>227</v>
      </c>
      <c r="CZ50" s="61"/>
      <c r="DA50" s="61">
        <v>1</v>
      </c>
      <c r="DB50" s="61" t="s">
        <v>228</v>
      </c>
      <c r="DC50" s="61"/>
      <c r="DD50" s="61">
        <v>1</v>
      </c>
      <c r="DE50" s="61" t="s">
        <v>229</v>
      </c>
      <c r="DF50" s="61"/>
      <c r="DG50" s="61">
        <v>1</v>
      </c>
      <c r="DH50" s="61" t="s">
        <v>274</v>
      </c>
      <c r="DI50" s="61"/>
      <c r="DJ50" s="61">
        <v>0</v>
      </c>
      <c r="DK50" s="61" t="s">
        <v>231</v>
      </c>
      <c r="DL50" s="61"/>
      <c r="DM50" s="61">
        <v>1</v>
      </c>
      <c r="DN50" s="61" t="s">
        <v>232</v>
      </c>
      <c r="DO50" s="61"/>
      <c r="DP50" s="61">
        <v>1</v>
      </c>
      <c r="DQ50" s="61" t="s">
        <v>233</v>
      </c>
      <c r="DR50" s="61"/>
      <c r="DS50" s="61">
        <v>1</v>
      </c>
      <c r="DT50" s="61" t="s">
        <v>234</v>
      </c>
      <c r="DU50" s="61"/>
      <c r="DV50" s="61">
        <v>1</v>
      </c>
      <c r="DW50" s="61" t="s">
        <v>235</v>
      </c>
      <c r="DX50" s="61"/>
      <c r="DY50" s="61">
        <v>1</v>
      </c>
      <c r="DZ50" s="61" t="s">
        <v>328</v>
      </c>
      <c r="EA50" s="61"/>
      <c r="EB50" s="61">
        <v>0</v>
      </c>
      <c r="EC50" s="61" t="s">
        <v>237</v>
      </c>
      <c r="ED50" s="61"/>
      <c r="EE50" s="61">
        <v>1</v>
      </c>
      <c r="EF50" s="61" t="s">
        <v>238</v>
      </c>
      <c r="EG50" s="61"/>
      <c r="EH50" s="61">
        <v>1</v>
      </c>
      <c r="EI50" s="61" t="s">
        <v>239</v>
      </c>
      <c r="EJ50" s="61"/>
      <c r="EK50" s="61">
        <v>1</v>
      </c>
      <c r="EL50" s="61" t="s">
        <v>277</v>
      </c>
      <c r="EM50" s="61"/>
      <c r="EN50" s="61">
        <v>0</v>
      </c>
      <c r="EO50" s="61" t="s">
        <v>329</v>
      </c>
      <c r="EP50" s="61"/>
      <c r="EQ50" s="61">
        <v>0</v>
      </c>
      <c r="ER50" s="61" t="s">
        <v>278</v>
      </c>
      <c r="ES50" s="61"/>
      <c r="ET50" s="61">
        <v>0</v>
      </c>
      <c r="EU50" s="61" t="s">
        <v>243</v>
      </c>
      <c r="EV50" s="61"/>
      <c r="EW50" s="61">
        <v>1</v>
      </c>
      <c r="EX50" s="61" t="s">
        <v>244</v>
      </c>
      <c r="EY50" s="61"/>
      <c r="EZ50" s="61">
        <v>1</v>
      </c>
      <c r="FA50" s="61" t="s">
        <v>245</v>
      </c>
      <c r="FB50" s="61"/>
      <c r="FC50" s="61">
        <v>1</v>
      </c>
      <c r="FD50" s="61" t="s">
        <v>422</v>
      </c>
      <c r="FE50" s="61"/>
      <c r="FF50" s="61">
        <v>0</v>
      </c>
      <c r="FG50" s="61" t="s">
        <v>247</v>
      </c>
      <c r="FH50" s="61"/>
      <c r="FI50" s="61">
        <v>1</v>
      </c>
      <c r="FJ50" s="61" t="s">
        <v>298</v>
      </c>
      <c r="FK50" s="61"/>
      <c r="FL50" s="61">
        <v>1</v>
      </c>
      <c r="FM50" s="61" t="s">
        <v>249</v>
      </c>
      <c r="FN50" s="61"/>
      <c r="FO50" s="61">
        <v>1</v>
      </c>
      <c r="FP50" s="61" t="s">
        <v>250</v>
      </c>
      <c r="FQ50" s="61"/>
      <c r="FR50" s="61">
        <v>1</v>
      </c>
      <c r="FS50" s="61" t="s">
        <v>251</v>
      </c>
      <c r="FT50" s="61"/>
      <c r="FU50" s="61">
        <v>1</v>
      </c>
      <c r="FV50" s="61" t="s">
        <v>252</v>
      </c>
      <c r="FW50" s="61"/>
      <c r="FX50" s="61">
        <v>1</v>
      </c>
      <c r="FY50" s="61" t="s">
        <v>253</v>
      </c>
      <c r="FZ50" s="61"/>
      <c r="GA50" s="61">
        <v>1</v>
      </c>
      <c r="GB50" s="61" t="s">
        <v>254</v>
      </c>
      <c r="GC50" s="61"/>
      <c r="GD50" s="61">
        <v>1</v>
      </c>
      <c r="GE50" s="61" t="s">
        <v>255</v>
      </c>
      <c r="GF50" s="61"/>
      <c r="GG50" s="61">
        <v>1</v>
      </c>
      <c r="GH50" s="61" t="s">
        <v>285</v>
      </c>
      <c r="GI50" s="61"/>
      <c r="GJ50" s="61">
        <v>0</v>
      </c>
      <c r="GK50" s="61" t="s">
        <v>257</v>
      </c>
      <c r="GL50" s="61"/>
      <c r="GM50" s="61">
        <v>1</v>
      </c>
    </row>
    <row r="51" spans="1:195">
      <c r="A51" s="62">
        <v>50</v>
      </c>
      <c r="B51" s="61" t="s">
        <v>483</v>
      </c>
      <c r="C51" s="61" t="s">
        <v>484</v>
      </c>
      <c r="D51" s="61" t="s">
        <v>197</v>
      </c>
      <c r="E51" s="61"/>
      <c r="F51" s="61">
        <v>34</v>
      </c>
      <c r="G51" s="61"/>
      <c r="H51" s="61"/>
      <c r="I51" s="61"/>
      <c r="J51" s="61"/>
      <c r="K51" s="61"/>
      <c r="L51" s="65" t="s">
        <v>677</v>
      </c>
      <c r="M51" s="61" t="s">
        <v>678</v>
      </c>
      <c r="N51" s="61"/>
      <c r="O51" s="61"/>
      <c r="P51" s="61" t="s">
        <v>260</v>
      </c>
      <c r="Q51" s="61">
        <v>1</v>
      </c>
      <c r="R51" s="61"/>
      <c r="S51" s="61" t="s">
        <v>199</v>
      </c>
      <c r="T51" s="61">
        <v>1</v>
      </c>
      <c r="U51" s="61"/>
      <c r="V51" s="61" t="s">
        <v>200</v>
      </c>
      <c r="W51" s="61">
        <v>1</v>
      </c>
      <c r="X51" s="61"/>
      <c r="Y51" s="61" t="s">
        <v>354</v>
      </c>
      <c r="Z51" s="61">
        <v>0</v>
      </c>
      <c r="AA51" s="61"/>
      <c r="AB51" s="61" t="s">
        <v>202</v>
      </c>
      <c r="AC51" s="61"/>
      <c r="AD51" s="61">
        <v>0</v>
      </c>
      <c r="AE51" s="61" t="s">
        <v>337</v>
      </c>
      <c r="AF51" s="61"/>
      <c r="AG51" s="61">
        <v>0</v>
      </c>
      <c r="AH51" s="61" t="s">
        <v>204</v>
      </c>
      <c r="AI51" s="61"/>
      <c r="AJ51" s="61">
        <v>1</v>
      </c>
      <c r="AK51" s="61" t="s">
        <v>354</v>
      </c>
      <c r="AL51" s="61"/>
      <c r="AM51" s="61">
        <v>0</v>
      </c>
      <c r="AN51" s="61" t="s">
        <v>206</v>
      </c>
      <c r="AO51" s="61"/>
      <c r="AP51" s="61">
        <v>1</v>
      </c>
      <c r="AQ51" s="61" t="s">
        <v>207</v>
      </c>
      <c r="AR51" s="61"/>
      <c r="AS51" s="61">
        <v>1</v>
      </c>
      <c r="AT51" s="61" t="s">
        <v>208</v>
      </c>
      <c r="AU51" s="61"/>
      <c r="AV51" s="61">
        <v>1</v>
      </c>
      <c r="AW51" s="61" t="s">
        <v>354</v>
      </c>
      <c r="AX51" s="61"/>
      <c r="AY51" s="61">
        <v>0</v>
      </c>
      <c r="AZ51" s="61" t="s">
        <v>210</v>
      </c>
      <c r="BA51" s="61"/>
      <c r="BB51" s="61">
        <v>1</v>
      </c>
      <c r="BC51" s="61" t="s">
        <v>315</v>
      </c>
      <c r="BD51" s="61"/>
      <c r="BE51" s="61">
        <v>0</v>
      </c>
      <c r="BF51" s="61" t="s">
        <v>354</v>
      </c>
      <c r="BG51" s="61"/>
      <c r="BH51" s="61">
        <v>0</v>
      </c>
      <c r="BI51" s="61" t="s">
        <v>354</v>
      </c>
      <c r="BJ51" s="61"/>
      <c r="BK51" s="61">
        <v>0</v>
      </c>
      <c r="BL51" s="61" t="s">
        <v>214</v>
      </c>
      <c r="BM51" s="61"/>
      <c r="BN51" s="61">
        <v>1</v>
      </c>
      <c r="BO51" s="61" t="s">
        <v>215</v>
      </c>
      <c r="BP51" s="61"/>
      <c r="BQ51" s="61">
        <v>1</v>
      </c>
      <c r="BR51" s="61" t="s">
        <v>216</v>
      </c>
      <c r="BS51" s="61"/>
      <c r="BT51" s="61">
        <v>1</v>
      </c>
      <c r="BU51" s="61" t="s">
        <v>354</v>
      </c>
      <c r="BV51" s="61">
        <v>0</v>
      </c>
      <c r="BW51" s="61"/>
      <c r="BX51" s="61" t="s">
        <v>218</v>
      </c>
      <c r="BY51" s="61">
        <v>1</v>
      </c>
      <c r="BZ51" s="61"/>
      <c r="CA51" s="61" t="s">
        <v>295</v>
      </c>
      <c r="CB51" s="61">
        <v>0</v>
      </c>
      <c r="CC51" s="61"/>
      <c r="CD51" s="61" t="s">
        <v>271</v>
      </c>
      <c r="CE51" s="61">
        <v>1</v>
      </c>
      <c r="CF51" s="61"/>
      <c r="CG51" s="61" t="s">
        <v>221</v>
      </c>
      <c r="CH51" s="61">
        <v>1</v>
      </c>
      <c r="CI51" s="61"/>
      <c r="CJ51" s="61" t="s">
        <v>222</v>
      </c>
      <c r="CK51" s="61"/>
      <c r="CL51" s="61">
        <v>1</v>
      </c>
      <c r="CM51" s="61" t="s">
        <v>354</v>
      </c>
      <c r="CN51" s="61"/>
      <c r="CO51" s="61">
        <v>0</v>
      </c>
      <c r="CP51" s="61" t="s">
        <v>224</v>
      </c>
      <c r="CQ51" s="61"/>
      <c r="CR51" s="61">
        <v>1</v>
      </c>
      <c r="CS51" s="61" t="s">
        <v>225</v>
      </c>
      <c r="CT51" s="61"/>
      <c r="CU51" s="61">
        <v>1</v>
      </c>
      <c r="CV51" s="61" t="s">
        <v>226</v>
      </c>
      <c r="CW51" s="61"/>
      <c r="CX51" s="61">
        <v>1</v>
      </c>
      <c r="CY51" s="61" t="s">
        <v>227</v>
      </c>
      <c r="CZ51" s="61"/>
      <c r="DA51" s="61">
        <v>1</v>
      </c>
      <c r="DB51" s="61" t="s">
        <v>228</v>
      </c>
      <c r="DC51" s="61"/>
      <c r="DD51" s="61">
        <v>1</v>
      </c>
      <c r="DE51" s="61" t="s">
        <v>354</v>
      </c>
      <c r="DF51" s="61"/>
      <c r="DG51" s="61">
        <v>0</v>
      </c>
      <c r="DH51" s="61" t="s">
        <v>230</v>
      </c>
      <c r="DI51" s="61"/>
      <c r="DJ51" s="61">
        <v>1</v>
      </c>
      <c r="DK51" s="61" t="s">
        <v>231</v>
      </c>
      <c r="DL51" s="61"/>
      <c r="DM51" s="61">
        <v>1</v>
      </c>
      <c r="DN51" s="61" t="s">
        <v>232</v>
      </c>
      <c r="DO51" s="61"/>
      <c r="DP51" s="61">
        <v>1</v>
      </c>
      <c r="DQ51" s="61" t="s">
        <v>233</v>
      </c>
      <c r="DR51" s="61"/>
      <c r="DS51" s="61">
        <v>1</v>
      </c>
      <c r="DT51" s="61" t="s">
        <v>234</v>
      </c>
      <c r="DU51" s="61"/>
      <c r="DV51" s="61">
        <v>1</v>
      </c>
      <c r="DW51" s="61" t="s">
        <v>235</v>
      </c>
      <c r="DX51" s="61"/>
      <c r="DY51" s="61">
        <v>1</v>
      </c>
      <c r="DZ51" s="61" t="s">
        <v>236</v>
      </c>
      <c r="EA51" s="61"/>
      <c r="EB51" s="61">
        <v>1</v>
      </c>
      <c r="EC51" s="61" t="s">
        <v>237</v>
      </c>
      <c r="ED51" s="61"/>
      <c r="EE51" s="61">
        <v>1</v>
      </c>
      <c r="EF51" s="61" t="s">
        <v>320</v>
      </c>
      <c r="EG51" s="61"/>
      <c r="EH51" s="61">
        <v>0</v>
      </c>
      <c r="EI51" s="61" t="s">
        <v>354</v>
      </c>
      <c r="EJ51" s="61"/>
      <c r="EK51" s="61">
        <v>0</v>
      </c>
      <c r="EL51" s="61" t="s">
        <v>348</v>
      </c>
      <c r="EM51" s="61"/>
      <c r="EN51" s="61">
        <v>0</v>
      </c>
      <c r="EO51" s="61" t="s">
        <v>241</v>
      </c>
      <c r="EP51" s="61"/>
      <c r="EQ51" s="61">
        <v>1</v>
      </c>
      <c r="ER51" s="61" t="s">
        <v>242</v>
      </c>
      <c r="ES51" s="61"/>
      <c r="ET51" s="61">
        <v>1</v>
      </c>
      <c r="EU51" s="61" t="s">
        <v>453</v>
      </c>
      <c r="EV51" s="61"/>
      <c r="EW51" s="61">
        <v>0</v>
      </c>
      <c r="EX51" s="61" t="s">
        <v>354</v>
      </c>
      <c r="EY51" s="61"/>
      <c r="EZ51" s="61">
        <v>0</v>
      </c>
      <c r="FA51" s="61" t="s">
        <v>361</v>
      </c>
      <c r="FB51" s="61"/>
      <c r="FC51" s="61">
        <v>0</v>
      </c>
      <c r="FD51" s="61" t="s">
        <v>246</v>
      </c>
      <c r="FE51" s="61"/>
      <c r="FF51" s="61">
        <v>1</v>
      </c>
      <c r="FG51" s="61" t="s">
        <v>247</v>
      </c>
      <c r="FH51" s="61"/>
      <c r="FI51" s="61">
        <v>1</v>
      </c>
      <c r="FJ51" s="61" t="s">
        <v>354</v>
      </c>
      <c r="FK51" s="61"/>
      <c r="FL51" s="61">
        <v>0</v>
      </c>
      <c r="FM51" s="61" t="s">
        <v>354</v>
      </c>
      <c r="FN51" s="61"/>
      <c r="FO51" s="61">
        <v>0</v>
      </c>
      <c r="FP51" s="61" t="s">
        <v>332</v>
      </c>
      <c r="FQ51" s="61"/>
      <c r="FR51" s="61">
        <v>0</v>
      </c>
      <c r="FS51" s="61" t="s">
        <v>251</v>
      </c>
      <c r="FT51" s="61"/>
      <c r="FU51" s="61">
        <v>1</v>
      </c>
      <c r="FV51" s="61" t="s">
        <v>252</v>
      </c>
      <c r="FW51" s="61"/>
      <c r="FX51" s="61">
        <v>1</v>
      </c>
      <c r="FY51" s="61"/>
      <c r="FZ51" s="61"/>
      <c r="GA51" s="61">
        <v>0</v>
      </c>
      <c r="GB51" s="61"/>
      <c r="GC51" s="61"/>
      <c r="GD51" s="61">
        <v>0</v>
      </c>
      <c r="GE51" s="61"/>
      <c r="GF51" s="61"/>
      <c r="GG51" s="61">
        <v>0</v>
      </c>
      <c r="GH51" s="61"/>
      <c r="GI51" s="61"/>
      <c r="GJ51" s="61">
        <v>0</v>
      </c>
      <c r="GK51" s="61"/>
      <c r="GL51" s="61"/>
      <c r="GM51" s="61">
        <v>0</v>
      </c>
    </row>
    <row r="52" spans="1:195">
      <c r="A52" s="62">
        <v>51</v>
      </c>
      <c r="B52" s="61" t="s">
        <v>485</v>
      </c>
      <c r="C52" s="61" t="s">
        <v>486</v>
      </c>
      <c r="D52" s="61" t="s">
        <v>197</v>
      </c>
      <c r="E52" s="61"/>
      <c r="F52" s="61">
        <v>15</v>
      </c>
      <c r="G52" s="61"/>
      <c r="H52" s="61"/>
      <c r="I52" s="61"/>
      <c r="J52" s="61"/>
      <c r="K52" s="61"/>
      <c r="L52" s="65" t="s">
        <v>679</v>
      </c>
      <c r="M52" s="61" t="s">
        <v>680</v>
      </c>
      <c r="N52" s="61"/>
      <c r="O52" s="61"/>
      <c r="P52" s="61" t="s">
        <v>198</v>
      </c>
      <c r="Q52" s="61">
        <v>0</v>
      </c>
      <c r="R52" s="61"/>
      <c r="S52" s="61" t="s">
        <v>199</v>
      </c>
      <c r="T52" s="61">
        <v>1</v>
      </c>
      <c r="U52" s="61"/>
      <c r="V52" s="61" t="s">
        <v>302</v>
      </c>
      <c r="W52" s="61">
        <v>0</v>
      </c>
      <c r="X52" s="61"/>
      <c r="Y52" s="61" t="s">
        <v>261</v>
      </c>
      <c r="Z52" s="61">
        <v>1</v>
      </c>
      <c r="AA52" s="61"/>
      <c r="AB52" s="61" t="s">
        <v>202</v>
      </c>
      <c r="AC52" s="61"/>
      <c r="AD52" s="61">
        <v>0</v>
      </c>
      <c r="AE52" s="61" t="s">
        <v>203</v>
      </c>
      <c r="AF52" s="61"/>
      <c r="AG52" s="61">
        <v>1</v>
      </c>
      <c r="AH52" s="61" t="s">
        <v>204</v>
      </c>
      <c r="AI52" s="61"/>
      <c r="AJ52" s="61">
        <v>1</v>
      </c>
      <c r="AK52" s="61" t="s">
        <v>264</v>
      </c>
      <c r="AL52" s="61"/>
      <c r="AM52" s="61">
        <v>0</v>
      </c>
      <c r="AN52" s="61" t="s">
        <v>291</v>
      </c>
      <c r="AO52" s="61"/>
      <c r="AP52" s="61">
        <v>0</v>
      </c>
      <c r="AQ52" s="61" t="s">
        <v>207</v>
      </c>
      <c r="AR52" s="61"/>
      <c r="AS52" s="61">
        <v>1</v>
      </c>
      <c r="AT52" s="61" t="s">
        <v>338</v>
      </c>
      <c r="AU52" s="61"/>
      <c r="AV52" s="61">
        <v>0</v>
      </c>
      <c r="AW52" s="61" t="s">
        <v>265</v>
      </c>
      <c r="AX52" s="61"/>
      <c r="AY52" s="61">
        <v>0</v>
      </c>
      <c r="AZ52" s="61" t="s">
        <v>210</v>
      </c>
      <c r="BA52" s="61"/>
      <c r="BB52" s="61">
        <v>1</v>
      </c>
      <c r="BC52" s="61" t="s">
        <v>211</v>
      </c>
      <c r="BD52" s="61"/>
      <c r="BE52" s="61">
        <v>1</v>
      </c>
      <c r="BF52" s="61" t="s">
        <v>212</v>
      </c>
      <c r="BG52" s="61"/>
      <c r="BH52" s="61">
        <v>1</v>
      </c>
      <c r="BI52" s="61" t="s">
        <v>213</v>
      </c>
      <c r="BJ52" s="61"/>
      <c r="BK52" s="61">
        <v>1</v>
      </c>
      <c r="BL52" s="61" t="s">
        <v>214</v>
      </c>
      <c r="BM52" s="61"/>
      <c r="BN52" s="61">
        <v>1</v>
      </c>
      <c r="BO52" s="61" t="s">
        <v>215</v>
      </c>
      <c r="BP52" s="61"/>
      <c r="BQ52" s="61">
        <v>1</v>
      </c>
      <c r="BR52" s="61" t="s">
        <v>216</v>
      </c>
      <c r="BS52" s="61"/>
      <c r="BT52" s="61">
        <v>1</v>
      </c>
      <c r="BU52" s="61" t="s">
        <v>217</v>
      </c>
      <c r="BV52" s="61">
        <v>1</v>
      </c>
      <c r="BW52" s="61"/>
      <c r="BX52" s="61" t="s">
        <v>218</v>
      </c>
      <c r="BY52" s="61">
        <v>1</v>
      </c>
      <c r="BZ52" s="61"/>
      <c r="CA52" s="61" t="s">
        <v>219</v>
      </c>
      <c r="CB52" s="61">
        <v>1</v>
      </c>
      <c r="CC52" s="61"/>
      <c r="CD52" s="61" t="s">
        <v>220</v>
      </c>
      <c r="CE52" s="61">
        <v>0</v>
      </c>
      <c r="CF52" s="61"/>
      <c r="CG52" s="61"/>
      <c r="CH52" s="61">
        <v>0</v>
      </c>
      <c r="CI52" s="61"/>
      <c r="CJ52" s="61"/>
      <c r="CK52" s="61"/>
      <c r="CL52" s="61">
        <v>0</v>
      </c>
      <c r="CM52" s="61"/>
      <c r="CN52" s="61"/>
      <c r="CO52" s="61">
        <v>0</v>
      </c>
      <c r="CP52" s="61"/>
      <c r="CQ52" s="61"/>
      <c r="CR52" s="61">
        <v>0</v>
      </c>
      <c r="CS52" s="61"/>
      <c r="CT52" s="61"/>
      <c r="CU52" s="61">
        <v>0</v>
      </c>
      <c r="CV52" s="61"/>
      <c r="CW52" s="61"/>
      <c r="CX52" s="61">
        <v>0</v>
      </c>
      <c r="CY52" s="61"/>
      <c r="CZ52" s="61"/>
      <c r="DA52" s="61">
        <v>0</v>
      </c>
      <c r="DB52" s="61"/>
      <c r="DC52" s="61"/>
      <c r="DD52" s="61">
        <v>0</v>
      </c>
      <c r="DE52" s="61"/>
      <c r="DF52" s="61"/>
      <c r="DG52" s="61">
        <v>0</v>
      </c>
      <c r="DH52" s="61"/>
      <c r="DI52" s="61"/>
      <c r="DJ52" s="61">
        <v>0</v>
      </c>
      <c r="DK52" s="61"/>
      <c r="DL52" s="61"/>
      <c r="DM52" s="61">
        <v>0</v>
      </c>
      <c r="DN52" s="61"/>
      <c r="DO52" s="61"/>
      <c r="DP52" s="61">
        <v>0</v>
      </c>
      <c r="DQ52" s="61"/>
      <c r="DR52" s="61"/>
      <c r="DS52" s="61">
        <v>0</v>
      </c>
      <c r="DT52" s="61"/>
      <c r="DU52" s="61"/>
      <c r="DV52" s="61">
        <v>0</v>
      </c>
      <c r="DW52" s="61"/>
      <c r="DX52" s="61"/>
      <c r="DY52" s="61">
        <v>0</v>
      </c>
      <c r="DZ52" s="61"/>
      <c r="EA52" s="61"/>
      <c r="EB52" s="61">
        <v>0</v>
      </c>
      <c r="EC52" s="61"/>
      <c r="ED52" s="61"/>
      <c r="EE52" s="61">
        <v>0</v>
      </c>
      <c r="EF52" s="61"/>
      <c r="EG52" s="61"/>
      <c r="EH52" s="61">
        <v>0</v>
      </c>
      <c r="EI52" s="61"/>
      <c r="EJ52" s="61"/>
      <c r="EK52" s="61">
        <v>0</v>
      </c>
      <c r="EL52" s="61"/>
      <c r="EM52" s="61"/>
      <c r="EN52" s="61">
        <v>0</v>
      </c>
      <c r="EO52" s="61"/>
      <c r="EP52" s="61"/>
      <c r="EQ52" s="61">
        <v>0</v>
      </c>
      <c r="ER52" s="61"/>
      <c r="ES52" s="61"/>
      <c r="ET52" s="61">
        <v>0</v>
      </c>
      <c r="EU52" s="61"/>
      <c r="EV52" s="61"/>
      <c r="EW52" s="61">
        <v>0</v>
      </c>
      <c r="EX52" s="61"/>
      <c r="EY52" s="61"/>
      <c r="EZ52" s="61">
        <v>0</v>
      </c>
      <c r="FA52" s="61"/>
      <c r="FB52" s="61"/>
      <c r="FC52" s="61">
        <v>0</v>
      </c>
      <c r="FD52" s="61"/>
      <c r="FE52" s="61"/>
      <c r="FF52" s="61">
        <v>0</v>
      </c>
      <c r="FG52" s="61"/>
      <c r="FH52" s="61"/>
      <c r="FI52" s="61">
        <v>0</v>
      </c>
      <c r="FJ52" s="61"/>
      <c r="FK52" s="61"/>
      <c r="FL52" s="61">
        <v>0</v>
      </c>
      <c r="FM52" s="61"/>
      <c r="FN52" s="61"/>
      <c r="FO52" s="61">
        <v>0</v>
      </c>
      <c r="FP52" s="61"/>
      <c r="FQ52" s="61"/>
      <c r="FR52" s="61">
        <v>0</v>
      </c>
      <c r="FS52" s="61"/>
      <c r="FT52" s="61"/>
      <c r="FU52" s="61">
        <v>0</v>
      </c>
      <c r="FV52" s="61"/>
      <c r="FW52" s="61"/>
      <c r="FX52" s="61">
        <v>0</v>
      </c>
      <c r="FY52" s="61"/>
      <c r="FZ52" s="61"/>
      <c r="GA52" s="61">
        <v>0</v>
      </c>
      <c r="GB52" s="61"/>
      <c r="GC52" s="61"/>
      <c r="GD52" s="61">
        <v>0</v>
      </c>
      <c r="GE52" s="61"/>
      <c r="GF52" s="61"/>
      <c r="GG52" s="61">
        <v>0</v>
      </c>
      <c r="GH52" s="61"/>
      <c r="GI52" s="61"/>
      <c r="GJ52" s="61">
        <v>0</v>
      </c>
      <c r="GK52" s="61"/>
      <c r="GL52" s="61"/>
      <c r="GM52" s="61">
        <v>0</v>
      </c>
    </row>
    <row r="53" spans="1:195">
      <c r="A53" s="62">
        <v>52</v>
      </c>
      <c r="B53" s="61" t="s">
        <v>487</v>
      </c>
      <c r="C53" s="61" t="s">
        <v>488</v>
      </c>
      <c r="D53" s="61" t="s">
        <v>197</v>
      </c>
      <c r="E53" s="61"/>
      <c r="F53" s="61">
        <v>35</v>
      </c>
      <c r="G53" s="61"/>
      <c r="H53" s="61"/>
      <c r="I53" s="61"/>
      <c r="J53" s="61"/>
      <c r="K53" s="61"/>
      <c r="L53" s="65" t="s">
        <v>681</v>
      </c>
      <c r="M53" s="61" t="s">
        <v>682</v>
      </c>
      <c r="N53" s="61"/>
      <c r="O53" s="61"/>
      <c r="P53" s="61" t="s">
        <v>260</v>
      </c>
      <c r="Q53" s="61">
        <v>1</v>
      </c>
      <c r="R53" s="61"/>
      <c r="S53" s="61" t="s">
        <v>199</v>
      </c>
      <c r="T53" s="61">
        <v>1</v>
      </c>
      <c r="U53" s="61"/>
      <c r="V53" s="61" t="s">
        <v>200</v>
      </c>
      <c r="W53" s="61">
        <v>1</v>
      </c>
      <c r="X53" s="61"/>
      <c r="Y53" s="61" t="s">
        <v>201</v>
      </c>
      <c r="Z53" s="61">
        <v>0</v>
      </c>
      <c r="AA53" s="61"/>
      <c r="AB53" s="61" t="s">
        <v>290</v>
      </c>
      <c r="AC53" s="61"/>
      <c r="AD53" s="61">
        <v>1</v>
      </c>
      <c r="AE53" s="61" t="s">
        <v>203</v>
      </c>
      <c r="AF53" s="61"/>
      <c r="AG53" s="61">
        <v>1</v>
      </c>
      <c r="AH53" s="61" t="s">
        <v>263</v>
      </c>
      <c r="AI53" s="61"/>
      <c r="AJ53" s="61">
        <v>0</v>
      </c>
      <c r="AK53" s="61" t="s">
        <v>205</v>
      </c>
      <c r="AL53" s="61"/>
      <c r="AM53" s="61">
        <v>1</v>
      </c>
      <c r="AN53" s="61" t="s">
        <v>206</v>
      </c>
      <c r="AO53" s="61"/>
      <c r="AP53" s="61">
        <v>1</v>
      </c>
      <c r="AQ53" s="61" t="s">
        <v>207</v>
      </c>
      <c r="AR53" s="61"/>
      <c r="AS53" s="61">
        <v>1</v>
      </c>
      <c r="AT53" s="61" t="s">
        <v>208</v>
      </c>
      <c r="AU53" s="61"/>
      <c r="AV53" s="61">
        <v>1</v>
      </c>
      <c r="AW53" s="61" t="s">
        <v>354</v>
      </c>
      <c r="AX53" s="61"/>
      <c r="AY53" s="61">
        <v>0</v>
      </c>
      <c r="AZ53" s="61" t="s">
        <v>210</v>
      </c>
      <c r="BA53" s="61"/>
      <c r="BB53" s="61">
        <v>1</v>
      </c>
      <c r="BC53" s="61" t="s">
        <v>211</v>
      </c>
      <c r="BD53" s="61"/>
      <c r="BE53" s="61">
        <v>1</v>
      </c>
      <c r="BF53" s="61" t="s">
        <v>212</v>
      </c>
      <c r="BG53" s="61"/>
      <c r="BH53" s="61">
        <v>1</v>
      </c>
      <c r="BI53" s="61" t="s">
        <v>213</v>
      </c>
      <c r="BJ53" s="61"/>
      <c r="BK53" s="61">
        <v>1</v>
      </c>
      <c r="BL53" s="61" t="s">
        <v>214</v>
      </c>
      <c r="BM53" s="61"/>
      <c r="BN53" s="61">
        <v>1</v>
      </c>
      <c r="BO53" s="61" t="s">
        <v>215</v>
      </c>
      <c r="BP53" s="61"/>
      <c r="BQ53" s="61">
        <v>1</v>
      </c>
      <c r="BR53" s="61" t="s">
        <v>216</v>
      </c>
      <c r="BS53" s="61"/>
      <c r="BT53" s="61">
        <v>1</v>
      </c>
      <c r="BU53" s="61" t="s">
        <v>217</v>
      </c>
      <c r="BV53" s="61">
        <v>1</v>
      </c>
      <c r="BW53" s="61"/>
      <c r="BX53" s="61" t="s">
        <v>269</v>
      </c>
      <c r="BY53" s="61">
        <v>0</v>
      </c>
      <c r="BZ53" s="61"/>
      <c r="CA53" s="61" t="s">
        <v>219</v>
      </c>
      <c r="CB53" s="61">
        <v>1</v>
      </c>
      <c r="CC53" s="61"/>
      <c r="CD53" s="61" t="s">
        <v>271</v>
      </c>
      <c r="CE53" s="61">
        <v>1</v>
      </c>
      <c r="CF53" s="61"/>
      <c r="CG53" s="61" t="s">
        <v>221</v>
      </c>
      <c r="CH53" s="61">
        <v>1</v>
      </c>
      <c r="CI53" s="61"/>
      <c r="CJ53" s="61" t="s">
        <v>222</v>
      </c>
      <c r="CK53" s="61"/>
      <c r="CL53" s="61">
        <v>1</v>
      </c>
      <c r="CM53" s="61" t="s">
        <v>223</v>
      </c>
      <c r="CN53" s="61"/>
      <c r="CO53" s="61">
        <v>1</v>
      </c>
      <c r="CP53" s="61" t="s">
        <v>224</v>
      </c>
      <c r="CQ53" s="61"/>
      <c r="CR53" s="61">
        <v>1</v>
      </c>
      <c r="CS53" s="61" t="s">
        <v>352</v>
      </c>
      <c r="CT53" s="61"/>
      <c r="CU53" s="61">
        <v>0</v>
      </c>
      <c r="CV53" s="61" t="s">
        <v>226</v>
      </c>
      <c r="CW53" s="61"/>
      <c r="CX53" s="61">
        <v>1</v>
      </c>
      <c r="CY53" s="61" t="s">
        <v>227</v>
      </c>
      <c r="CZ53" s="61"/>
      <c r="DA53" s="61">
        <v>1</v>
      </c>
      <c r="DB53" s="61" t="s">
        <v>228</v>
      </c>
      <c r="DC53" s="61"/>
      <c r="DD53" s="61">
        <v>1</v>
      </c>
      <c r="DE53" s="61" t="s">
        <v>229</v>
      </c>
      <c r="DF53" s="61"/>
      <c r="DG53" s="61">
        <v>1</v>
      </c>
      <c r="DH53" s="61" t="s">
        <v>274</v>
      </c>
      <c r="DI53" s="61"/>
      <c r="DJ53" s="61">
        <v>0</v>
      </c>
      <c r="DK53" s="61" t="s">
        <v>231</v>
      </c>
      <c r="DL53" s="61"/>
      <c r="DM53" s="61">
        <v>1</v>
      </c>
      <c r="DN53" s="61" t="s">
        <v>232</v>
      </c>
      <c r="DO53" s="61"/>
      <c r="DP53" s="61">
        <v>1</v>
      </c>
      <c r="DQ53" s="61" t="s">
        <v>233</v>
      </c>
      <c r="DR53" s="61"/>
      <c r="DS53" s="61">
        <v>1</v>
      </c>
      <c r="DT53" s="61" t="s">
        <v>234</v>
      </c>
      <c r="DU53" s="61"/>
      <c r="DV53" s="61">
        <v>1</v>
      </c>
      <c r="DW53" s="61" t="s">
        <v>235</v>
      </c>
      <c r="DX53" s="61"/>
      <c r="DY53" s="61">
        <v>1</v>
      </c>
      <c r="DZ53" s="61" t="s">
        <v>236</v>
      </c>
      <c r="EA53" s="61"/>
      <c r="EB53" s="61">
        <v>1</v>
      </c>
      <c r="EC53" s="61" t="s">
        <v>237</v>
      </c>
      <c r="ED53" s="61"/>
      <c r="EE53" s="61">
        <v>1</v>
      </c>
      <c r="EF53" s="61" t="s">
        <v>238</v>
      </c>
      <c r="EG53" s="61"/>
      <c r="EH53" s="61">
        <v>1</v>
      </c>
      <c r="EI53" s="61"/>
      <c r="EJ53" s="61"/>
      <c r="EK53" s="61">
        <v>0</v>
      </c>
      <c r="EL53" s="61"/>
      <c r="EM53" s="61"/>
      <c r="EN53" s="61">
        <v>0</v>
      </c>
      <c r="EO53" s="61"/>
      <c r="EP53" s="61"/>
      <c r="EQ53" s="61">
        <v>0</v>
      </c>
      <c r="ER53" s="61"/>
      <c r="ES53" s="61"/>
      <c r="ET53" s="61">
        <v>0</v>
      </c>
      <c r="EU53" s="61"/>
      <c r="EV53" s="61"/>
      <c r="EW53" s="61">
        <v>0</v>
      </c>
      <c r="EX53" s="61"/>
      <c r="EY53" s="61"/>
      <c r="EZ53" s="61">
        <v>0</v>
      </c>
      <c r="FA53" s="61"/>
      <c r="FB53" s="61"/>
      <c r="FC53" s="61">
        <v>0</v>
      </c>
      <c r="FD53" s="61"/>
      <c r="FE53" s="61"/>
      <c r="FF53" s="61">
        <v>0</v>
      </c>
      <c r="FG53" s="61"/>
      <c r="FH53" s="61"/>
      <c r="FI53" s="61">
        <v>0</v>
      </c>
      <c r="FJ53" s="61"/>
      <c r="FK53" s="61"/>
      <c r="FL53" s="61">
        <v>0</v>
      </c>
      <c r="FM53" s="61"/>
      <c r="FN53" s="61"/>
      <c r="FO53" s="61">
        <v>0</v>
      </c>
      <c r="FP53" s="61"/>
      <c r="FQ53" s="61"/>
      <c r="FR53" s="61">
        <v>0</v>
      </c>
      <c r="FS53" s="61"/>
      <c r="FT53" s="61"/>
      <c r="FU53" s="61">
        <v>0</v>
      </c>
      <c r="FV53" s="61"/>
      <c r="FW53" s="61"/>
      <c r="FX53" s="61">
        <v>0</v>
      </c>
      <c r="FY53" s="61"/>
      <c r="FZ53" s="61"/>
      <c r="GA53" s="61">
        <v>0</v>
      </c>
      <c r="GB53" s="61"/>
      <c r="GC53" s="61"/>
      <c r="GD53" s="61">
        <v>0</v>
      </c>
      <c r="GE53" s="61"/>
      <c r="GF53" s="61"/>
      <c r="GG53" s="61">
        <v>0</v>
      </c>
      <c r="GH53" s="61"/>
      <c r="GI53" s="61"/>
      <c r="GJ53" s="61">
        <v>0</v>
      </c>
      <c r="GK53" s="61"/>
      <c r="GL53" s="61"/>
      <c r="GM53" s="61">
        <v>0</v>
      </c>
    </row>
    <row r="54" spans="1:195">
      <c r="A54" s="62">
        <v>53</v>
      </c>
      <c r="B54" s="61" t="s">
        <v>489</v>
      </c>
      <c r="C54" s="61" t="s">
        <v>490</v>
      </c>
      <c r="D54" s="61" t="s">
        <v>197</v>
      </c>
      <c r="E54" s="61"/>
      <c r="F54" s="61">
        <v>53</v>
      </c>
      <c r="G54" s="61"/>
      <c r="H54" s="61"/>
      <c r="I54" s="61"/>
      <c r="J54" s="61"/>
      <c r="K54" s="61"/>
      <c r="L54" s="65" t="s">
        <v>683</v>
      </c>
      <c r="M54" s="61" t="s">
        <v>684</v>
      </c>
      <c r="N54" s="61"/>
      <c r="O54" s="61"/>
      <c r="P54" s="61" t="s">
        <v>260</v>
      </c>
      <c r="Q54" s="61">
        <v>1</v>
      </c>
      <c r="R54" s="61"/>
      <c r="S54" s="61" t="s">
        <v>199</v>
      </c>
      <c r="T54" s="61">
        <v>1</v>
      </c>
      <c r="U54" s="61"/>
      <c r="V54" s="61" t="s">
        <v>200</v>
      </c>
      <c r="W54" s="61">
        <v>1</v>
      </c>
      <c r="X54" s="61"/>
      <c r="Y54" s="61" t="s">
        <v>261</v>
      </c>
      <c r="Z54" s="61">
        <v>1</v>
      </c>
      <c r="AA54" s="61"/>
      <c r="AB54" s="61" t="s">
        <v>290</v>
      </c>
      <c r="AC54" s="61"/>
      <c r="AD54" s="61">
        <v>1</v>
      </c>
      <c r="AE54" s="61" t="s">
        <v>203</v>
      </c>
      <c r="AF54" s="61"/>
      <c r="AG54" s="61">
        <v>1</v>
      </c>
      <c r="AH54" s="61" t="s">
        <v>204</v>
      </c>
      <c r="AI54" s="61"/>
      <c r="AJ54" s="61">
        <v>1</v>
      </c>
      <c r="AK54" s="61" t="s">
        <v>205</v>
      </c>
      <c r="AL54" s="61"/>
      <c r="AM54" s="61">
        <v>1</v>
      </c>
      <c r="AN54" s="61" t="s">
        <v>206</v>
      </c>
      <c r="AO54" s="61"/>
      <c r="AP54" s="61">
        <v>1</v>
      </c>
      <c r="AQ54" s="61" t="s">
        <v>207</v>
      </c>
      <c r="AR54" s="61"/>
      <c r="AS54" s="61">
        <v>1</v>
      </c>
      <c r="AT54" s="61" t="s">
        <v>292</v>
      </c>
      <c r="AU54" s="61"/>
      <c r="AV54" s="61">
        <v>0</v>
      </c>
      <c r="AW54" s="61" t="s">
        <v>305</v>
      </c>
      <c r="AX54" s="61"/>
      <c r="AY54" s="61">
        <v>0</v>
      </c>
      <c r="AZ54" s="61" t="s">
        <v>210</v>
      </c>
      <c r="BA54" s="61"/>
      <c r="BB54" s="61">
        <v>1</v>
      </c>
      <c r="BC54" s="61" t="s">
        <v>211</v>
      </c>
      <c r="BD54" s="61"/>
      <c r="BE54" s="61">
        <v>1</v>
      </c>
      <c r="BF54" s="61" t="s">
        <v>212</v>
      </c>
      <c r="BG54" s="61"/>
      <c r="BH54" s="61">
        <v>1</v>
      </c>
      <c r="BI54" s="61" t="s">
        <v>213</v>
      </c>
      <c r="BJ54" s="61"/>
      <c r="BK54" s="61">
        <v>1</v>
      </c>
      <c r="BL54" s="61" t="s">
        <v>214</v>
      </c>
      <c r="BM54" s="61"/>
      <c r="BN54" s="61">
        <v>1</v>
      </c>
      <c r="BO54" s="61" t="s">
        <v>365</v>
      </c>
      <c r="BP54" s="61"/>
      <c r="BQ54" s="61">
        <v>0</v>
      </c>
      <c r="BR54" s="61" t="s">
        <v>216</v>
      </c>
      <c r="BS54" s="61"/>
      <c r="BT54" s="61">
        <v>1</v>
      </c>
      <c r="BU54" s="61" t="s">
        <v>217</v>
      </c>
      <c r="BV54" s="61">
        <v>1</v>
      </c>
      <c r="BW54" s="61"/>
      <c r="BX54" s="61" t="s">
        <v>218</v>
      </c>
      <c r="BY54" s="61">
        <v>1</v>
      </c>
      <c r="BZ54" s="61"/>
      <c r="CA54" s="61" t="s">
        <v>219</v>
      </c>
      <c r="CB54" s="61">
        <v>1</v>
      </c>
      <c r="CC54" s="61"/>
      <c r="CD54" s="61" t="s">
        <v>271</v>
      </c>
      <c r="CE54" s="61">
        <v>1</v>
      </c>
      <c r="CF54" s="61"/>
      <c r="CG54" s="61" t="s">
        <v>221</v>
      </c>
      <c r="CH54" s="61">
        <v>1</v>
      </c>
      <c r="CI54" s="61"/>
      <c r="CJ54" s="61" t="s">
        <v>222</v>
      </c>
      <c r="CK54" s="61"/>
      <c r="CL54" s="61">
        <v>1</v>
      </c>
      <c r="CM54" s="61" t="s">
        <v>223</v>
      </c>
      <c r="CN54" s="61"/>
      <c r="CO54" s="61">
        <v>1</v>
      </c>
      <c r="CP54" s="61" t="s">
        <v>224</v>
      </c>
      <c r="CQ54" s="61"/>
      <c r="CR54" s="61">
        <v>1</v>
      </c>
      <c r="CS54" s="61" t="s">
        <v>225</v>
      </c>
      <c r="CT54" s="61"/>
      <c r="CU54" s="61">
        <v>1</v>
      </c>
      <c r="CV54" s="61" t="s">
        <v>226</v>
      </c>
      <c r="CW54" s="61"/>
      <c r="CX54" s="61">
        <v>1</v>
      </c>
      <c r="CY54" s="61" t="s">
        <v>227</v>
      </c>
      <c r="CZ54" s="61"/>
      <c r="DA54" s="61">
        <v>1</v>
      </c>
      <c r="DB54" s="61" t="s">
        <v>228</v>
      </c>
      <c r="DC54" s="61"/>
      <c r="DD54" s="61">
        <v>1</v>
      </c>
      <c r="DE54" s="61" t="s">
        <v>273</v>
      </c>
      <c r="DF54" s="61"/>
      <c r="DG54" s="61">
        <v>0</v>
      </c>
      <c r="DH54" s="61" t="s">
        <v>230</v>
      </c>
      <c r="DI54" s="61"/>
      <c r="DJ54" s="61">
        <v>1</v>
      </c>
      <c r="DK54" s="61" t="s">
        <v>231</v>
      </c>
      <c r="DL54" s="61"/>
      <c r="DM54" s="61">
        <v>1</v>
      </c>
      <c r="DN54" s="61" t="s">
        <v>232</v>
      </c>
      <c r="DO54" s="61"/>
      <c r="DP54" s="61">
        <v>1</v>
      </c>
      <c r="DQ54" s="61" t="s">
        <v>233</v>
      </c>
      <c r="DR54" s="61"/>
      <c r="DS54" s="61">
        <v>1</v>
      </c>
      <c r="DT54" s="61" t="s">
        <v>234</v>
      </c>
      <c r="DU54" s="61"/>
      <c r="DV54" s="61">
        <v>1</v>
      </c>
      <c r="DW54" s="61" t="s">
        <v>235</v>
      </c>
      <c r="DX54" s="61"/>
      <c r="DY54" s="61">
        <v>1</v>
      </c>
      <c r="DZ54" s="61" t="s">
        <v>236</v>
      </c>
      <c r="EA54" s="61"/>
      <c r="EB54" s="61">
        <v>1</v>
      </c>
      <c r="EC54" s="61" t="s">
        <v>237</v>
      </c>
      <c r="ED54" s="61"/>
      <c r="EE54" s="61">
        <v>1</v>
      </c>
      <c r="EF54" s="61" t="s">
        <v>238</v>
      </c>
      <c r="EG54" s="61"/>
      <c r="EH54" s="61">
        <v>1</v>
      </c>
      <c r="EI54" s="61" t="s">
        <v>239</v>
      </c>
      <c r="EJ54" s="61"/>
      <c r="EK54" s="61">
        <v>1</v>
      </c>
      <c r="EL54" s="61" t="s">
        <v>240</v>
      </c>
      <c r="EM54" s="61"/>
      <c r="EN54" s="61">
        <v>1</v>
      </c>
      <c r="EO54" s="61" t="s">
        <v>241</v>
      </c>
      <c r="EP54" s="61"/>
      <c r="EQ54" s="61">
        <v>1</v>
      </c>
      <c r="ER54" s="61" t="s">
        <v>242</v>
      </c>
      <c r="ES54" s="61"/>
      <c r="ET54" s="61">
        <v>1</v>
      </c>
      <c r="EU54" s="61" t="s">
        <v>243</v>
      </c>
      <c r="EV54" s="61"/>
      <c r="EW54" s="61">
        <v>1</v>
      </c>
      <c r="EX54" s="61" t="s">
        <v>279</v>
      </c>
      <c r="EY54" s="61"/>
      <c r="EZ54" s="61">
        <v>0</v>
      </c>
      <c r="FA54" s="61" t="s">
        <v>280</v>
      </c>
      <c r="FB54" s="61"/>
      <c r="FC54" s="61">
        <v>0</v>
      </c>
      <c r="FD54" s="61" t="s">
        <v>246</v>
      </c>
      <c r="FE54" s="61"/>
      <c r="FF54" s="61">
        <v>1</v>
      </c>
      <c r="FG54" s="61" t="s">
        <v>247</v>
      </c>
      <c r="FH54" s="61"/>
      <c r="FI54" s="61">
        <v>1</v>
      </c>
      <c r="FJ54" s="61" t="s">
        <v>298</v>
      </c>
      <c r="FK54" s="61"/>
      <c r="FL54" s="61">
        <v>1</v>
      </c>
      <c r="FM54" s="61" t="s">
        <v>249</v>
      </c>
      <c r="FN54" s="61"/>
      <c r="FO54" s="61">
        <v>1</v>
      </c>
      <c r="FP54" s="61" t="s">
        <v>250</v>
      </c>
      <c r="FQ54" s="61"/>
      <c r="FR54" s="61">
        <v>1</v>
      </c>
      <c r="FS54" s="61" t="s">
        <v>251</v>
      </c>
      <c r="FT54" s="61"/>
      <c r="FU54" s="61">
        <v>1</v>
      </c>
      <c r="FV54" s="61" t="s">
        <v>466</v>
      </c>
      <c r="FW54" s="61"/>
      <c r="FX54" s="61">
        <v>0</v>
      </c>
      <c r="FY54" s="61" t="s">
        <v>253</v>
      </c>
      <c r="FZ54" s="61"/>
      <c r="GA54" s="61">
        <v>1</v>
      </c>
      <c r="GB54" s="61" t="s">
        <v>254</v>
      </c>
      <c r="GC54" s="61"/>
      <c r="GD54" s="61">
        <v>1</v>
      </c>
      <c r="GE54" s="61" t="s">
        <v>255</v>
      </c>
      <c r="GF54" s="61"/>
      <c r="GG54" s="61">
        <v>1</v>
      </c>
      <c r="GH54" s="61" t="s">
        <v>256</v>
      </c>
      <c r="GI54" s="61"/>
      <c r="GJ54" s="61">
        <v>1</v>
      </c>
      <c r="GK54" s="61" t="s">
        <v>257</v>
      </c>
      <c r="GL54" s="61"/>
      <c r="GM54" s="61">
        <v>1</v>
      </c>
    </row>
  </sheetData>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
                <anchor moveWithCells="1" sizeWithCells="1">
                  <from>
                    <xdr:col>4</xdr:col>
                    <xdr:colOff>419100</xdr:colOff>
                    <xdr:row>8</xdr:row>
                    <xdr:rowOff>19050</xdr:rowOff>
                  </from>
                  <to>
                    <xdr:col>4</xdr:col>
                    <xdr:colOff>1981200</xdr:colOff>
                    <xdr:row>13</xdr:row>
                    <xdr:rowOff>66675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F9882-C02A-48AD-95F5-14151A44B253}">
  <sheetPr codeName="Sheet7"/>
  <dimension ref="B2:G62"/>
  <sheetViews>
    <sheetView zoomScaleNormal="100" workbookViewId="0">
      <selection activeCell="H8" sqref="H8"/>
    </sheetView>
  </sheetViews>
  <sheetFormatPr defaultRowHeight="15"/>
  <cols>
    <col min="1" max="1" width="3.85546875" customWidth="1"/>
    <col min="2" max="2" width="17.85546875" customWidth="1"/>
    <col min="3" max="3" width="128.140625" customWidth="1"/>
    <col min="4" max="4" width="10.5703125" bestFit="1" customWidth="1"/>
    <col min="5" max="6" width="6.42578125" bestFit="1" customWidth="1"/>
  </cols>
  <sheetData>
    <row r="2" spans="2:6">
      <c r="B2" s="12" t="s">
        <v>491</v>
      </c>
      <c r="C2" s="18" t="s">
        <v>492</v>
      </c>
      <c r="D2" s="13" t="s">
        <v>493</v>
      </c>
      <c r="E2" s="9" t="s">
        <v>494</v>
      </c>
      <c r="F2" s="9" t="s">
        <v>495</v>
      </c>
    </row>
    <row r="3" spans="2:6">
      <c r="B3" s="8" t="s">
        <v>496</v>
      </c>
      <c r="C3" s="14" t="s">
        <v>15</v>
      </c>
      <c r="D3" s="2">
        <v>1</v>
      </c>
      <c r="E3" s="3">
        <v>1</v>
      </c>
      <c r="F3" s="2"/>
    </row>
    <row r="4" spans="2:6">
      <c r="B4" s="8" t="s">
        <v>496</v>
      </c>
      <c r="C4" s="11" t="s">
        <v>18</v>
      </c>
      <c r="D4" s="2">
        <v>2</v>
      </c>
      <c r="E4" s="3">
        <v>1</v>
      </c>
      <c r="F4" s="2"/>
    </row>
    <row r="5" spans="2:6">
      <c r="B5" s="8" t="s">
        <v>496</v>
      </c>
      <c r="C5" s="11" t="s">
        <v>21</v>
      </c>
      <c r="D5" s="2">
        <v>3</v>
      </c>
      <c r="E5" s="3">
        <v>1</v>
      </c>
      <c r="F5" s="2"/>
    </row>
    <row r="6" spans="2:6">
      <c r="B6" s="8" t="s">
        <v>496</v>
      </c>
      <c r="C6" s="11" t="s">
        <v>24</v>
      </c>
      <c r="D6" s="2">
        <v>4</v>
      </c>
      <c r="E6" s="3">
        <v>1</v>
      </c>
      <c r="F6" s="2"/>
    </row>
    <row r="7" spans="2:6">
      <c r="B7" s="8" t="s">
        <v>496</v>
      </c>
      <c r="C7" s="11" t="s">
        <v>27</v>
      </c>
      <c r="D7" s="2">
        <v>5</v>
      </c>
      <c r="E7" s="3">
        <v>1</v>
      </c>
      <c r="F7" s="2"/>
    </row>
    <row r="8" spans="2:6">
      <c r="B8" s="8" t="s">
        <v>496</v>
      </c>
      <c r="C8" s="11" t="s">
        <v>30</v>
      </c>
      <c r="D8" s="2">
        <v>6</v>
      </c>
      <c r="E8" s="3">
        <v>1</v>
      </c>
      <c r="F8" s="2"/>
    </row>
    <row r="9" spans="2:6">
      <c r="B9" s="8" t="s">
        <v>496</v>
      </c>
      <c r="C9" s="11" t="s">
        <v>33</v>
      </c>
      <c r="D9" s="2">
        <v>7</v>
      </c>
      <c r="E9" s="3">
        <v>1</v>
      </c>
      <c r="F9" s="2"/>
    </row>
    <row r="10" spans="2:6">
      <c r="B10" s="8" t="s">
        <v>496</v>
      </c>
      <c r="C10" s="11" t="s">
        <v>36</v>
      </c>
      <c r="D10" s="2">
        <v>8</v>
      </c>
      <c r="E10" s="3">
        <v>1</v>
      </c>
      <c r="F10" s="2"/>
    </row>
    <row r="11" spans="2:6">
      <c r="B11" s="8" t="s">
        <v>496</v>
      </c>
      <c r="C11" s="11" t="s">
        <v>39</v>
      </c>
      <c r="D11" s="2">
        <v>9</v>
      </c>
      <c r="E11" s="3">
        <v>1</v>
      </c>
      <c r="F11" s="2"/>
    </row>
    <row r="12" spans="2:6">
      <c r="B12" s="8" t="s">
        <v>496</v>
      </c>
      <c r="C12" s="11" t="s">
        <v>42</v>
      </c>
      <c r="D12" s="2">
        <v>10</v>
      </c>
      <c r="E12" s="3">
        <v>1</v>
      </c>
      <c r="F12" s="2"/>
    </row>
    <row r="13" spans="2:6">
      <c r="B13" s="8" t="s">
        <v>496</v>
      </c>
      <c r="C13" s="11" t="s">
        <v>45</v>
      </c>
      <c r="D13" s="2">
        <v>11</v>
      </c>
      <c r="E13" s="3">
        <v>1</v>
      </c>
      <c r="F13" s="2"/>
    </row>
    <row r="14" spans="2:6">
      <c r="B14" s="8" t="s">
        <v>496</v>
      </c>
      <c r="C14" s="11" t="s">
        <v>48</v>
      </c>
      <c r="D14" s="2">
        <v>12</v>
      </c>
      <c r="E14" s="3">
        <v>1</v>
      </c>
      <c r="F14" s="2">
        <f>SUM(E3:E14)</f>
        <v>12</v>
      </c>
    </row>
    <row r="15" spans="2:6">
      <c r="B15" s="4" t="s">
        <v>497</v>
      </c>
      <c r="C15" s="15" t="s">
        <v>51</v>
      </c>
      <c r="D15" s="2">
        <v>13</v>
      </c>
      <c r="E15" s="3">
        <v>1</v>
      </c>
      <c r="F15" s="2"/>
    </row>
    <row r="16" spans="2:6">
      <c r="B16" s="4" t="s">
        <v>497</v>
      </c>
      <c r="C16" s="15" t="s">
        <v>54</v>
      </c>
      <c r="D16" s="2">
        <v>14</v>
      </c>
      <c r="E16" s="3">
        <v>1</v>
      </c>
      <c r="F16" s="2"/>
    </row>
    <row r="17" spans="2:6" ht="30">
      <c r="B17" s="4" t="s">
        <v>497</v>
      </c>
      <c r="C17" s="15" t="s">
        <v>57</v>
      </c>
      <c r="D17" s="2">
        <v>15</v>
      </c>
      <c r="E17" s="3">
        <v>1</v>
      </c>
      <c r="F17" s="2"/>
    </row>
    <row r="18" spans="2:6">
      <c r="B18" s="4" t="s">
        <v>497</v>
      </c>
      <c r="C18" s="15" t="s">
        <v>60</v>
      </c>
      <c r="D18" s="2">
        <v>16</v>
      </c>
      <c r="E18" s="3">
        <v>1</v>
      </c>
      <c r="F18" s="2"/>
    </row>
    <row r="19" spans="2:6">
      <c r="B19" s="4" t="s">
        <v>497</v>
      </c>
      <c r="C19" s="15" t="s">
        <v>63</v>
      </c>
      <c r="D19" s="2">
        <v>17</v>
      </c>
      <c r="E19" s="3">
        <v>1</v>
      </c>
      <c r="F19" s="2"/>
    </row>
    <row r="20" spans="2:6">
      <c r="B20" s="4" t="s">
        <v>497</v>
      </c>
      <c r="C20" s="15" t="s">
        <v>66</v>
      </c>
      <c r="D20" s="2">
        <v>18</v>
      </c>
      <c r="E20" s="3">
        <v>1</v>
      </c>
      <c r="F20" s="2"/>
    </row>
    <row r="21" spans="2:6">
      <c r="B21" s="4" t="s">
        <v>497</v>
      </c>
      <c r="C21" s="15" t="s">
        <v>69</v>
      </c>
      <c r="D21" s="2">
        <v>19</v>
      </c>
      <c r="E21" s="3">
        <v>1</v>
      </c>
      <c r="F21" s="2"/>
    </row>
    <row r="22" spans="2:6">
      <c r="B22" s="4" t="s">
        <v>497</v>
      </c>
      <c r="C22" s="15" t="s">
        <v>72</v>
      </c>
      <c r="D22" s="2">
        <v>20</v>
      </c>
      <c r="E22" s="3">
        <v>1</v>
      </c>
      <c r="F22" s="2"/>
    </row>
    <row r="23" spans="2:6">
      <c r="B23" s="4" t="s">
        <v>497</v>
      </c>
      <c r="C23" s="15" t="s">
        <v>75</v>
      </c>
      <c r="D23" s="2">
        <v>21</v>
      </c>
      <c r="E23" s="3">
        <v>1</v>
      </c>
      <c r="F23" s="2"/>
    </row>
    <row r="24" spans="2:6">
      <c r="B24" s="4" t="s">
        <v>497</v>
      </c>
      <c r="C24" s="15" t="s">
        <v>78</v>
      </c>
      <c r="D24" s="2">
        <v>22</v>
      </c>
      <c r="E24" s="3">
        <v>1</v>
      </c>
      <c r="F24" s="2"/>
    </row>
    <row r="25" spans="2:6">
      <c r="B25" s="4" t="s">
        <v>497</v>
      </c>
      <c r="C25" s="15" t="s">
        <v>81</v>
      </c>
      <c r="D25" s="2">
        <v>23</v>
      </c>
      <c r="E25" s="3">
        <v>1</v>
      </c>
      <c r="F25" s="2"/>
    </row>
    <row r="26" spans="2:6">
      <c r="B26" s="4" t="s">
        <v>497</v>
      </c>
      <c r="C26" s="15" t="s">
        <v>84</v>
      </c>
      <c r="D26" s="2">
        <v>24</v>
      </c>
      <c r="E26" s="3">
        <v>1</v>
      </c>
      <c r="F26" s="2">
        <f>SUM(E15:E26)</f>
        <v>12</v>
      </c>
    </row>
    <row r="27" spans="2:6">
      <c r="B27" s="7" t="s">
        <v>498</v>
      </c>
      <c r="C27" s="16" t="s">
        <v>499</v>
      </c>
      <c r="D27" s="2">
        <v>25</v>
      </c>
      <c r="E27" s="3">
        <v>1</v>
      </c>
      <c r="F27" s="2"/>
    </row>
    <row r="28" spans="2:6" ht="30">
      <c r="B28" s="7" t="s">
        <v>498</v>
      </c>
      <c r="C28" s="16" t="s">
        <v>90</v>
      </c>
      <c r="D28" s="2">
        <v>26</v>
      </c>
      <c r="E28" s="3">
        <v>1</v>
      </c>
      <c r="F28" s="2"/>
    </row>
    <row r="29" spans="2:6">
      <c r="B29" s="7" t="s">
        <v>498</v>
      </c>
      <c r="C29" s="16" t="s">
        <v>93</v>
      </c>
      <c r="D29" s="2">
        <v>27</v>
      </c>
      <c r="E29" s="3">
        <v>1</v>
      </c>
      <c r="F29" s="2"/>
    </row>
    <row r="30" spans="2:6">
      <c r="B30" s="7" t="s">
        <v>498</v>
      </c>
      <c r="C30" s="16" t="s">
        <v>96</v>
      </c>
      <c r="D30" s="2">
        <v>28</v>
      </c>
      <c r="E30" s="3">
        <v>1</v>
      </c>
      <c r="F30" s="2"/>
    </row>
    <row r="31" spans="2:6">
      <c r="B31" s="7" t="s">
        <v>498</v>
      </c>
      <c r="C31" s="16" t="s">
        <v>99</v>
      </c>
      <c r="D31" s="2">
        <v>29</v>
      </c>
      <c r="E31" s="3">
        <v>1</v>
      </c>
      <c r="F31" s="2"/>
    </row>
    <row r="32" spans="2:6">
      <c r="B32" s="7" t="s">
        <v>498</v>
      </c>
      <c r="C32" s="16" t="s">
        <v>102</v>
      </c>
      <c r="D32" s="2">
        <v>30</v>
      </c>
      <c r="E32" s="3">
        <v>1</v>
      </c>
      <c r="F32" s="2"/>
    </row>
    <row r="33" spans="2:6">
      <c r="B33" s="7" t="s">
        <v>498</v>
      </c>
      <c r="C33" s="16" t="s">
        <v>105</v>
      </c>
      <c r="D33" s="2">
        <v>31</v>
      </c>
      <c r="E33" s="3">
        <v>1</v>
      </c>
      <c r="F33" s="2"/>
    </row>
    <row r="34" spans="2:6">
      <c r="B34" s="7" t="s">
        <v>498</v>
      </c>
      <c r="C34" s="16" t="s">
        <v>108</v>
      </c>
      <c r="D34" s="2">
        <v>32</v>
      </c>
      <c r="E34" s="3">
        <v>1</v>
      </c>
      <c r="F34" s="2"/>
    </row>
    <row r="35" spans="2:6">
      <c r="B35" s="7" t="s">
        <v>498</v>
      </c>
      <c r="C35" s="16" t="s">
        <v>111</v>
      </c>
      <c r="D35" s="2">
        <v>33</v>
      </c>
      <c r="E35" s="3">
        <v>1</v>
      </c>
      <c r="F35" s="2"/>
    </row>
    <row r="36" spans="2:6">
      <c r="B36" s="7" t="s">
        <v>498</v>
      </c>
      <c r="C36" s="16" t="s">
        <v>114</v>
      </c>
      <c r="D36" s="2">
        <v>34</v>
      </c>
      <c r="E36" s="3">
        <v>1</v>
      </c>
      <c r="F36" s="2"/>
    </row>
    <row r="37" spans="2:6">
      <c r="B37" s="7" t="s">
        <v>498</v>
      </c>
      <c r="C37" s="16" t="s">
        <v>117</v>
      </c>
      <c r="D37" s="2">
        <v>35</v>
      </c>
      <c r="E37" s="3">
        <v>1</v>
      </c>
      <c r="F37" s="2"/>
    </row>
    <row r="38" spans="2:6">
      <c r="B38" s="7" t="s">
        <v>498</v>
      </c>
      <c r="C38" s="16" t="s">
        <v>120</v>
      </c>
      <c r="D38" s="2">
        <v>36</v>
      </c>
      <c r="E38" s="3">
        <v>1</v>
      </c>
      <c r="F38" s="2">
        <f>SUM(E27:E38)</f>
        <v>12</v>
      </c>
    </row>
    <row r="39" spans="2:6">
      <c r="B39" s="6" t="s">
        <v>500</v>
      </c>
      <c r="C39" s="6" t="s">
        <v>123</v>
      </c>
      <c r="D39" s="2">
        <v>37</v>
      </c>
      <c r="E39" s="3">
        <v>1</v>
      </c>
      <c r="F39" s="2"/>
    </row>
    <row r="40" spans="2:6">
      <c r="B40" s="6" t="s">
        <v>500</v>
      </c>
      <c r="C40" s="6" t="s">
        <v>126</v>
      </c>
      <c r="D40" s="2">
        <v>38</v>
      </c>
      <c r="E40" s="3">
        <v>1</v>
      </c>
      <c r="F40" s="2"/>
    </row>
    <row r="41" spans="2:6">
      <c r="B41" s="6" t="s">
        <v>500</v>
      </c>
      <c r="C41" s="6" t="s">
        <v>129</v>
      </c>
      <c r="D41" s="2">
        <v>39</v>
      </c>
      <c r="E41" s="3">
        <v>1</v>
      </c>
      <c r="F41" s="2"/>
    </row>
    <row r="42" spans="2:6">
      <c r="B42" s="6" t="s">
        <v>500</v>
      </c>
      <c r="C42" s="6" t="s">
        <v>132</v>
      </c>
      <c r="D42" s="2">
        <v>40</v>
      </c>
      <c r="E42" s="3">
        <v>1</v>
      </c>
      <c r="F42" s="2"/>
    </row>
    <row r="43" spans="2:6">
      <c r="B43" s="6" t="s">
        <v>500</v>
      </c>
      <c r="C43" s="6" t="s">
        <v>135</v>
      </c>
      <c r="D43" s="2">
        <v>41</v>
      </c>
      <c r="E43" s="3">
        <v>1</v>
      </c>
      <c r="F43" s="2"/>
    </row>
    <row r="44" spans="2:6">
      <c r="B44" s="6" t="s">
        <v>500</v>
      </c>
      <c r="C44" s="6" t="s">
        <v>138</v>
      </c>
      <c r="D44" s="2">
        <v>42</v>
      </c>
      <c r="E44" s="3">
        <v>1</v>
      </c>
      <c r="F44" s="2"/>
    </row>
    <row r="45" spans="2:6">
      <c r="B45" s="6" t="s">
        <v>500</v>
      </c>
      <c r="C45" s="6" t="s">
        <v>141</v>
      </c>
      <c r="D45" s="2">
        <v>43</v>
      </c>
      <c r="E45" s="3">
        <v>1</v>
      </c>
      <c r="F45" s="2"/>
    </row>
    <row r="46" spans="2:6">
      <c r="B46" s="6" t="s">
        <v>500</v>
      </c>
      <c r="C46" s="6" t="s">
        <v>144</v>
      </c>
      <c r="D46" s="2">
        <v>44</v>
      </c>
      <c r="E46" s="3">
        <v>1</v>
      </c>
      <c r="F46" s="2"/>
    </row>
    <row r="47" spans="2:6">
      <c r="B47" s="6" t="s">
        <v>500</v>
      </c>
      <c r="C47" s="6" t="s">
        <v>147</v>
      </c>
      <c r="D47" s="2">
        <v>45</v>
      </c>
      <c r="E47" s="3">
        <v>1</v>
      </c>
      <c r="F47" s="2"/>
    </row>
    <row r="48" spans="2:6">
      <c r="B48" s="6" t="s">
        <v>500</v>
      </c>
      <c r="C48" s="6" t="s">
        <v>150</v>
      </c>
      <c r="D48" s="2">
        <v>46</v>
      </c>
      <c r="E48" s="3">
        <v>1</v>
      </c>
      <c r="F48" s="2"/>
    </row>
    <row r="49" spans="2:7">
      <c r="B49" s="6" t="s">
        <v>500</v>
      </c>
      <c r="C49" s="6" t="s">
        <v>153</v>
      </c>
      <c r="D49" s="2">
        <v>47</v>
      </c>
      <c r="E49" s="3">
        <v>1</v>
      </c>
      <c r="F49" s="2"/>
    </row>
    <row r="50" spans="2:7">
      <c r="B50" s="6" t="s">
        <v>500</v>
      </c>
      <c r="C50" s="6" t="s">
        <v>156</v>
      </c>
      <c r="D50" s="2">
        <v>48</v>
      </c>
      <c r="E50" s="3">
        <v>1</v>
      </c>
      <c r="F50" s="2">
        <f>SUM(E39:E50)</f>
        <v>12</v>
      </c>
    </row>
    <row r="51" spans="2:7">
      <c r="B51" s="5" t="s">
        <v>501</v>
      </c>
      <c r="C51" s="17" t="s">
        <v>159</v>
      </c>
      <c r="D51" s="2">
        <v>49</v>
      </c>
      <c r="E51" s="3">
        <v>1</v>
      </c>
      <c r="F51" s="2"/>
    </row>
    <row r="52" spans="2:7">
      <c r="B52" s="5" t="s">
        <v>501</v>
      </c>
      <c r="C52" s="17" t="s">
        <v>162</v>
      </c>
      <c r="D52" s="2">
        <v>50</v>
      </c>
      <c r="E52" s="3">
        <v>1</v>
      </c>
      <c r="F52" s="2"/>
    </row>
    <row r="53" spans="2:7">
      <c r="B53" s="5" t="s">
        <v>501</v>
      </c>
      <c r="C53" s="17" t="s">
        <v>165</v>
      </c>
      <c r="D53" s="2">
        <v>51</v>
      </c>
      <c r="E53" s="3">
        <v>1</v>
      </c>
      <c r="F53" s="2"/>
    </row>
    <row r="54" spans="2:7">
      <c r="B54" s="5" t="s">
        <v>501</v>
      </c>
      <c r="C54" s="17" t="s">
        <v>168</v>
      </c>
      <c r="D54" s="2">
        <v>52</v>
      </c>
      <c r="E54" s="3">
        <v>1</v>
      </c>
      <c r="F54" s="2"/>
    </row>
    <row r="55" spans="2:7">
      <c r="B55" s="5" t="s">
        <v>501</v>
      </c>
      <c r="C55" s="17" t="s">
        <v>171</v>
      </c>
      <c r="D55" s="2">
        <v>53</v>
      </c>
      <c r="E55" s="3">
        <v>1</v>
      </c>
      <c r="F55" s="2"/>
    </row>
    <row r="56" spans="2:7">
      <c r="B56" s="5" t="s">
        <v>501</v>
      </c>
      <c r="C56" s="17" t="s">
        <v>174</v>
      </c>
      <c r="D56" s="2">
        <v>54</v>
      </c>
      <c r="E56" s="3">
        <v>1</v>
      </c>
      <c r="F56" s="2"/>
    </row>
    <row r="57" spans="2:7">
      <c r="B57" s="5" t="s">
        <v>501</v>
      </c>
      <c r="C57" s="17" t="s">
        <v>177</v>
      </c>
      <c r="D57" s="2">
        <v>55</v>
      </c>
      <c r="E57" s="3">
        <v>1</v>
      </c>
      <c r="F57" s="2"/>
    </row>
    <row r="58" spans="2:7">
      <c r="B58" s="5" t="s">
        <v>501</v>
      </c>
      <c r="C58" s="17" t="s">
        <v>180</v>
      </c>
      <c r="D58" s="2">
        <v>56</v>
      </c>
      <c r="E58" s="3">
        <v>1</v>
      </c>
      <c r="F58" s="2"/>
    </row>
    <row r="59" spans="2:7">
      <c r="B59" s="5" t="s">
        <v>501</v>
      </c>
      <c r="C59" s="17" t="s">
        <v>183</v>
      </c>
      <c r="D59" s="2">
        <v>57</v>
      </c>
      <c r="E59" s="3">
        <v>1</v>
      </c>
      <c r="F59" s="2"/>
    </row>
    <row r="60" spans="2:7">
      <c r="B60" s="5" t="s">
        <v>501</v>
      </c>
      <c r="C60" s="17" t="s">
        <v>186</v>
      </c>
      <c r="D60" s="2">
        <v>58</v>
      </c>
      <c r="E60" s="3">
        <v>1</v>
      </c>
      <c r="F60" s="2"/>
    </row>
    <row r="61" spans="2:7">
      <c r="B61" s="5" t="s">
        <v>501</v>
      </c>
      <c r="C61" s="17" t="s">
        <v>189</v>
      </c>
      <c r="D61" s="2">
        <v>59</v>
      </c>
      <c r="E61" s="3">
        <v>1</v>
      </c>
      <c r="F61" s="2"/>
    </row>
    <row r="62" spans="2:7">
      <c r="B62" s="5" t="s">
        <v>501</v>
      </c>
      <c r="C62" s="17" t="s">
        <v>192</v>
      </c>
      <c r="D62" s="2">
        <v>60</v>
      </c>
      <c r="E62" s="3">
        <v>1</v>
      </c>
      <c r="F62" s="2">
        <f>SUM(E51:E62)</f>
        <v>12</v>
      </c>
      <c r="G62">
        <v>60</v>
      </c>
    </row>
  </sheetData>
  <phoneticPr fontId="5"/>
  <pageMargins left="0.7" right="0.7" top="0.75" bottom="0.75" header="0.3" footer="0.3"/>
  <ignoredErrors>
    <ignoredError sqref="F14 F26 F38 F50" formulaRange="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21CA7-5CFD-4CA6-96F0-F5C80D6488AC}">
  <sheetPr codeName="Sheet17"/>
  <dimension ref="A2:H56"/>
  <sheetViews>
    <sheetView zoomScaleNormal="100" workbookViewId="0">
      <selection activeCell="D14" sqref="D14"/>
    </sheetView>
  </sheetViews>
  <sheetFormatPr defaultColWidth="8.85546875" defaultRowHeight="13.5" customHeight="1"/>
  <cols>
    <col min="1" max="1" width="3.42578125" customWidth="1"/>
    <col min="2" max="8" width="26.5703125" customWidth="1"/>
  </cols>
  <sheetData>
    <row r="2" spans="1:8" ht="15">
      <c r="B2" s="10" t="s">
        <v>502</v>
      </c>
      <c r="C2" s="29" t="s">
        <v>496</v>
      </c>
      <c r="D2" s="30" t="s">
        <v>497</v>
      </c>
      <c r="E2" s="31" t="s">
        <v>498</v>
      </c>
      <c r="F2" s="32" t="s">
        <v>500</v>
      </c>
      <c r="G2" s="33" t="s">
        <v>501</v>
      </c>
      <c r="H2" s="19" t="s">
        <v>503</v>
      </c>
    </row>
    <row r="3" spans="1:8" ht="15">
      <c r="B3" s="34" t="s">
        <v>504</v>
      </c>
      <c r="C3" s="1">
        <v>9</v>
      </c>
      <c r="D3" s="1">
        <v>11</v>
      </c>
      <c r="E3" s="1">
        <v>12</v>
      </c>
      <c r="F3" s="1">
        <v>12</v>
      </c>
      <c r="G3" s="1">
        <v>11</v>
      </c>
      <c r="H3" s="1">
        <v>55</v>
      </c>
    </row>
    <row r="4" spans="1:8" ht="15">
      <c r="B4" s="35" t="s">
        <v>505</v>
      </c>
      <c r="C4" s="1">
        <v>7</v>
      </c>
      <c r="D4" s="1">
        <v>7</v>
      </c>
      <c r="E4" s="1">
        <v>9</v>
      </c>
      <c r="F4" s="1">
        <v>6</v>
      </c>
      <c r="G4" s="1">
        <v>5</v>
      </c>
      <c r="H4" s="1">
        <v>34</v>
      </c>
    </row>
    <row r="5" spans="1:8" ht="15">
      <c r="B5" s="35" t="s">
        <v>506</v>
      </c>
      <c r="C5" s="1">
        <v>7</v>
      </c>
      <c r="D5" s="1">
        <v>10</v>
      </c>
      <c r="E5" s="1">
        <v>11</v>
      </c>
      <c r="F5" s="1">
        <v>10</v>
      </c>
      <c r="G5" s="1">
        <v>10</v>
      </c>
      <c r="H5" s="1">
        <v>48</v>
      </c>
    </row>
    <row r="6" spans="1:8" ht="15">
      <c r="B6" s="35" t="s">
        <v>507</v>
      </c>
      <c r="C6" s="1">
        <v>8</v>
      </c>
      <c r="D6" s="1">
        <v>11</v>
      </c>
      <c r="E6" s="1">
        <v>11</v>
      </c>
      <c r="F6" s="1">
        <v>9</v>
      </c>
      <c r="G6" s="1">
        <v>7</v>
      </c>
      <c r="H6" s="1">
        <v>46</v>
      </c>
    </row>
    <row r="7" spans="1:8" ht="13.5" customHeight="1">
      <c r="B7" s="35" t="s">
        <v>508</v>
      </c>
      <c r="C7" s="1">
        <v>8</v>
      </c>
      <c r="D7" s="1">
        <v>8</v>
      </c>
      <c r="E7" s="1">
        <v>10</v>
      </c>
      <c r="F7" s="1">
        <v>8</v>
      </c>
      <c r="G7" s="1">
        <v>8</v>
      </c>
      <c r="H7" s="1">
        <v>42</v>
      </c>
    </row>
    <row r="8" spans="1:8" ht="13.5" customHeight="1">
      <c r="A8" s="27"/>
      <c r="B8" s="35" t="s">
        <v>509</v>
      </c>
      <c r="C8" s="1">
        <v>8</v>
      </c>
      <c r="D8" s="1">
        <v>10</v>
      </c>
      <c r="E8" s="1">
        <v>12</v>
      </c>
      <c r="F8" s="1">
        <v>6</v>
      </c>
      <c r="G8" s="1">
        <v>6</v>
      </c>
      <c r="H8" s="1">
        <v>42</v>
      </c>
    </row>
    <row r="9" spans="1:8" ht="13.5" customHeight="1">
      <c r="A9" s="27"/>
      <c r="B9" s="35" t="s">
        <v>510</v>
      </c>
      <c r="C9" s="1">
        <v>8</v>
      </c>
      <c r="D9" s="1">
        <v>11</v>
      </c>
      <c r="E9" s="1">
        <v>11</v>
      </c>
      <c r="F9" s="1">
        <v>8</v>
      </c>
      <c r="G9" s="1">
        <v>10</v>
      </c>
      <c r="H9" s="1">
        <v>48</v>
      </c>
    </row>
    <row r="10" spans="1:8" ht="13.5" customHeight="1">
      <c r="B10" s="35" t="s">
        <v>511</v>
      </c>
      <c r="C10" s="1">
        <v>6</v>
      </c>
      <c r="D10" s="1">
        <v>7</v>
      </c>
      <c r="E10" s="1">
        <v>10</v>
      </c>
      <c r="F10" s="1">
        <v>9</v>
      </c>
      <c r="G10" s="1">
        <v>7</v>
      </c>
      <c r="H10" s="1">
        <v>39</v>
      </c>
    </row>
    <row r="11" spans="1:8" ht="13.5" customHeight="1">
      <c r="B11" s="35" t="s">
        <v>512</v>
      </c>
      <c r="C11" s="1">
        <v>7</v>
      </c>
      <c r="D11" s="1">
        <v>11</v>
      </c>
      <c r="E11" s="1">
        <v>10</v>
      </c>
      <c r="F11" s="1">
        <v>8</v>
      </c>
      <c r="G11" s="1">
        <v>7</v>
      </c>
      <c r="H11" s="1">
        <v>43</v>
      </c>
    </row>
    <row r="12" spans="1:8" ht="13.5" customHeight="1">
      <c r="B12" s="35" t="s">
        <v>513</v>
      </c>
      <c r="C12" s="1">
        <v>6</v>
      </c>
      <c r="D12" s="1">
        <v>11</v>
      </c>
      <c r="E12" s="1">
        <v>12</v>
      </c>
      <c r="F12" s="1">
        <v>4</v>
      </c>
      <c r="G12" s="1">
        <v>9</v>
      </c>
      <c r="H12" s="1">
        <v>42</v>
      </c>
    </row>
    <row r="13" spans="1:8" ht="13.5" customHeight="1">
      <c r="B13" s="35" t="s">
        <v>514</v>
      </c>
      <c r="C13" s="1">
        <v>7</v>
      </c>
      <c r="D13" s="1">
        <v>8</v>
      </c>
      <c r="E13" s="1">
        <v>12</v>
      </c>
      <c r="F13" s="1">
        <v>6</v>
      </c>
      <c r="G13" s="1">
        <v>6</v>
      </c>
      <c r="H13" s="1">
        <v>39</v>
      </c>
    </row>
    <row r="14" spans="1:8" ht="13.5" customHeight="1">
      <c r="B14" s="35" t="s">
        <v>515</v>
      </c>
      <c r="C14" s="1">
        <v>12</v>
      </c>
      <c r="D14" s="1">
        <v>12</v>
      </c>
      <c r="E14" s="1">
        <v>11</v>
      </c>
      <c r="F14" s="1">
        <v>11</v>
      </c>
      <c r="G14" s="1">
        <v>12</v>
      </c>
      <c r="H14" s="1">
        <v>58</v>
      </c>
    </row>
    <row r="15" spans="1:8" ht="13.5" customHeight="1">
      <c r="B15" s="35" t="s">
        <v>516</v>
      </c>
      <c r="C15" s="1">
        <v>8</v>
      </c>
      <c r="D15" s="1">
        <v>11</v>
      </c>
      <c r="E15" s="1">
        <v>10</v>
      </c>
      <c r="F15" s="1">
        <v>12</v>
      </c>
      <c r="G15" s="1">
        <v>12</v>
      </c>
      <c r="H15" s="1">
        <v>53</v>
      </c>
    </row>
    <row r="16" spans="1:8" ht="13.5" customHeight="1">
      <c r="B16" s="35" t="s">
        <v>517</v>
      </c>
      <c r="C16" s="1">
        <v>6</v>
      </c>
      <c r="D16" s="1">
        <v>11</v>
      </c>
      <c r="E16" s="1">
        <v>11</v>
      </c>
      <c r="F16" s="1">
        <v>9</v>
      </c>
      <c r="G16" s="1">
        <v>9</v>
      </c>
      <c r="H16" s="1">
        <v>46</v>
      </c>
    </row>
    <row r="17" spans="2:8" ht="13.5" customHeight="1">
      <c r="B17" s="35" t="s">
        <v>518</v>
      </c>
      <c r="C17" s="1">
        <v>5</v>
      </c>
      <c r="D17" s="1">
        <v>8</v>
      </c>
      <c r="E17" s="1">
        <v>11</v>
      </c>
      <c r="F17" s="1">
        <v>5</v>
      </c>
      <c r="G17" s="1">
        <v>7</v>
      </c>
      <c r="H17" s="1">
        <v>36</v>
      </c>
    </row>
    <row r="18" spans="2:8" ht="13.5" customHeight="1">
      <c r="B18" s="35" t="s">
        <v>519</v>
      </c>
      <c r="C18" s="1">
        <v>6</v>
      </c>
      <c r="D18" s="1">
        <v>11</v>
      </c>
      <c r="E18" s="1">
        <v>12</v>
      </c>
      <c r="F18" s="1">
        <v>8</v>
      </c>
      <c r="G18" s="1">
        <v>11</v>
      </c>
      <c r="H18" s="1">
        <v>48</v>
      </c>
    </row>
    <row r="19" spans="2:8" ht="13.5" customHeight="1">
      <c r="B19" s="35" t="s">
        <v>520</v>
      </c>
      <c r="C19" s="1">
        <v>6</v>
      </c>
      <c r="D19" s="1">
        <v>8</v>
      </c>
      <c r="E19" s="1">
        <v>10</v>
      </c>
      <c r="F19" s="1">
        <v>6</v>
      </c>
      <c r="G19" s="1">
        <v>9</v>
      </c>
      <c r="H19" s="1">
        <v>39</v>
      </c>
    </row>
    <row r="20" spans="2:8" ht="13.5" customHeight="1">
      <c r="B20" s="35" t="s">
        <v>521</v>
      </c>
      <c r="C20" s="1">
        <v>6</v>
      </c>
      <c r="D20" s="1">
        <v>9</v>
      </c>
      <c r="E20" s="1">
        <v>12</v>
      </c>
      <c r="F20" s="1">
        <v>10</v>
      </c>
      <c r="G20" s="1">
        <v>8</v>
      </c>
      <c r="H20" s="1">
        <v>45</v>
      </c>
    </row>
    <row r="21" spans="2:8" ht="13.5" customHeight="1">
      <c r="B21" s="35" t="s">
        <v>522</v>
      </c>
      <c r="C21" s="1">
        <v>9</v>
      </c>
      <c r="D21" s="1">
        <v>8</v>
      </c>
      <c r="E21" s="1">
        <v>10</v>
      </c>
      <c r="F21" s="1">
        <v>10</v>
      </c>
      <c r="G21" s="1">
        <v>11</v>
      </c>
      <c r="H21" s="1">
        <v>48</v>
      </c>
    </row>
    <row r="22" spans="2:8" ht="13.5" customHeight="1">
      <c r="B22" s="35" t="s">
        <v>523</v>
      </c>
      <c r="C22" s="1">
        <v>7</v>
      </c>
      <c r="D22" s="1">
        <v>11</v>
      </c>
      <c r="E22" s="1">
        <v>8</v>
      </c>
      <c r="F22" s="1">
        <v>0</v>
      </c>
      <c r="G22" s="1">
        <v>0</v>
      </c>
      <c r="H22" s="1">
        <v>26</v>
      </c>
    </row>
    <row r="23" spans="2:8" ht="13.5" customHeight="1">
      <c r="B23" s="35" t="s">
        <v>524</v>
      </c>
      <c r="C23" s="1">
        <v>5</v>
      </c>
      <c r="D23" s="1">
        <v>10</v>
      </c>
      <c r="E23" s="1">
        <v>11</v>
      </c>
      <c r="F23" s="1">
        <v>5</v>
      </c>
      <c r="G23" s="1">
        <v>2</v>
      </c>
      <c r="H23" s="1">
        <v>33</v>
      </c>
    </row>
    <row r="24" spans="2:8" ht="13.5" customHeight="1">
      <c r="B24" s="35" t="s">
        <v>525</v>
      </c>
      <c r="C24" s="1">
        <v>6</v>
      </c>
      <c r="D24" s="1">
        <v>7</v>
      </c>
      <c r="E24" s="1">
        <v>10</v>
      </c>
      <c r="F24" s="1">
        <v>0</v>
      </c>
      <c r="G24" s="1">
        <v>0</v>
      </c>
      <c r="H24" s="1">
        <v>23</v>
      </c>
    </row>
    <row r="25" spans="2:8" ht="13.5" customHeight="1">
      <c r="B25" s="35" t="s">
        <v>526</v>
      </c>
      <c r="C25" s="1">
        <v>7</v>
      </c>
      <c r="D25" s="1">
        <v>6</v>
      </c>
      <c r="E25" s="1">
        <v>11</v>
      </c>
      <c r="F25" s="1">
        <v>0</v>
      </c>
      <c r="G25" s="1">
        <v>0</v>
      </c>
      <c r="H25" s="1">
        <v>24</v>
      </c>
    </row>
    <row r="26" spans="2:8" ht="13.5" customHeight="1">
      <c r="B26" s="35" t="s">
        <v>527</v>
      </c>
      <c r="C26" s="1">
        <v>8</v>
      </c>
      <c r="D26" s="1">
        <v>11</v>
      </c>
      <c r="E26" s="1">
        <v>11</v>
      </c>
      <c r="F26" s="1">
        <v>12</v>
      </c>
      <c r="G26" s="1">
        <v>11</v>
      </c>
      <c r="H26" s="1">
        <v>53</v>
      </c>
    </row>
    <row r="27" spans="2:8" ht="13.5" customHeight="1">
      <c r="B27" s="35" t="s">
        <v>528</v>
      </c>
      <c r="C27" s="1">
        <v>7</v>
      </c>
      <c r="D27" s="1">
        <v>10</v>
      </c>
      <c r="E27" s="1">
        <v>12</v>
      </c>
      <c r="F27" s="1">
        <v>8</v>
      </c>
      <c r="G27" s="1">
        <v>8</v>
      </c>
      <c r="H27" s="1">
        <v>45</v>
      </c>
    </row>
    <row r="28" spans="2:8" ht="13.5" customHeight="1">
      <c r="B28" s="35" t="s">
        <v>529</v>
      </c>
      <c r="C28" s="1">
        <v>6</v>
      </c>
      <c r="D28" s="1">
        <v>10</v>
      </c>
      <c r="E28" s="1">
        <v>10</v>
      </c>
      <c r="F28" s="1">
        <v>11</v>
      </c>
      <c r="G28" s="1">
        <v>11</v>
      </c>
      <c r="H28" s="1">
        <v>48</v>
      </c>
    </row>
    <row r="29" spans="2:8" ht="13.5" customHeight="1">
      <c r="B29" s="35" t="s">
        <v>530</v>
      </c>
      <c r="C29" s="1">
        <v>4</v>
      </c>
      <c r="D29" s="1">
        <v>10</v>
      </c>
      <c r="E29" s="1">
        <v>11</v>
      </c>
      <c r="F29" s="1">
        <v>8</v>
      </c>
      <c r="G29" s="1">
        <v>7</v>
      </c>
      <c r="H29" s="1">
        <v>40</v>
      </c>
    </row>
    <row r="30" spans="2:8" ht="13.5" customHeight="1">
      <c r="B30" s="35" t="s">
        <v>531</v>
      </c>
      <c r="C30" s="1">
        <v>8</v>
      </c>
      <c r="D30" s="1">
        <v>10</v>
      </c>
      <c r="E30" s="1">
        <v>12</v>
      </c>
      <c r="F30" s="1">
        <v>9</v>
      </c>
      <c r="G30" s="1">
        <v>8</v>
      </c>
      <c r="H30" s="1">
        <v>47</v>
      </c>
    </row>
    <row r="31" spans="2:8" ht="13.5" customHeight="1">
      <c r="B31" s="35" t="s">
        <v>532</v>
      </c>
      <c r="C31" s="1">
        <v>7</v>
      </c>
      <c r="D31" s="1">
        <v>9</v>
      </c>
      <c r="E31" s="1">
        <v>9</v>
      </c>
      <c r="F31" s="1">
        <v>8</v>
      </c>
      <c r="G31" s="1">
        <v>7</v>
      </c>
      <c r="H31" s="1">
        <v>40</v>
      </c>
    </row>
    <row r="32" spans="2:8" ht="13.5" customHeight="1">
      <c r="B32" s="35" t="s">
        <v>533</v>
      </c>
      <c r="C32" s="1">
        <v>7</v>
      </c>
      <c r="D32" s="1">
        <v>11</v>
      </c>
      <c r="E32" s="1">
        <v>10</v>
      </c>
      <c r="F32" s="1">
        <v>6</v>
      </c>
      <c r="G32" s="1">
        <v>9</v>
      </c>
      <c r="H32" s="1">
        <v>43</v>
      </c>
    </row>
    <row r="33" spans="2:8" ht="13.5" customHeight="1">
      <c r="B33" s="35" t="s">
        <v>534</v>
      </c>
      <c r="C33" s="1">
        <v>5</v>
      </c>
      <c r="D33" s="1">
        <v>9</v>
      </c>
      <c r="E33" s="1">
        <v>10</v>
      </c>
      <c r="F33" s="1">
        <v>10</v>
      </c>
      <c r="G33" s="1">
        <v>2</v>
      </c>
      <c r="H33" s="1">
        <v>36</v>
      </c>
    </row>
    <row r="34" spans="2:8" ht="13.5" customHeight="1">
      <c r="B34" s="35" t="s">
        <v>535</v>
      </c>
      <c r="C34" s="1">
        <v>3</v>
      </c>
      <c r="D34" s="1">
        <v>8</v>
      </c>
      <c r="E34" s="1">
        <v>10</v>
      </c>
      <c r="F34" s="1">
        <v>2</v>
      </c>
      <c r="G34" s="1">
        <v>3</v>
      </c>
      <c r="H34" s="1">
        <v>26</v>
      </c>
    </row>
    <row r="35" spans="2:8" ht="13.5" customHeight="1">
      <c r="B35" s="35" t="s">
        <v>536</v>
      </c>
      <c r="C35" s="1">
        <v>7</v>
      </c>
      <c r="D35" s="1">
        <v>6</v>
      </c>
      <c r="E35" s="1">
        <v>12</v>
      </c>
      <c r="F35" s="1">
        <v>6</v>
      </c>
      <c r="G35" s="1">
        <v>7</v>
      </c>
      <c r="H35" s="1">
        <v>38</v>
      </c>
    </row>
    <row r="36" spans="2:8" ht="13.5" customHeight="1">
      <c r="B36" s="35" t="s">
        <v>537</v>
      </c>
      <c r="C36" s="1">
        <v>4</v>
      </c>
      <c r="D36" s="1">
        <v>11</v>
      </c>
      <c r="E36" s="1">
        <v>12</v>
      </c>
      <c r="F36" s="1">
        <v>11</v>
      </c>
      <c r="G36" s="1">
        <v>8</v>
      </c>
      <c r="H36" s="1">
        <v>46</v>
      </c>
    </row>
    <row r="37" spans="2:8" ht="13.5" customHeight="1">
      <c r="B37" s="35" t="s">
        <v>538</v>
      </c>
      <c r="C37" s="1">
        <v>6</v>
      </c>
      <c r="D37" s="1">
        <v>8</v>
      </c>
      <c r="E37" s="1">
        <v>11</v>
      </c>
      <c r="F37" s="1">
        <v>9</v>
      </c>
      <c r="G37" s="1">
        <v>11</v>
      </c>
      <c r="H37" s="1">
        <v>45</v>
      </c>
    </row>
    <row r="38" spans="2:8" ht="13.5" customHeight="1">
      <c r="B38" s="35" t="s">
        <v>539</v>
      </c>
      <c r="C38" s="1">
        <v>10</v>
      </c>
      <c r="D38" s="1">
        <v>12</v>
      </c>
      <c r="E38" s="1">
        <v>12</v>
      </c>
      <c r="F38" s="1">
        <v>8</v>
      </c>
      <c r="G38" s="1">
        <v>8</v>
      </c>
      <c r="H38" s="1">
        <v>50</v>
      </c>
    </row>
    <row r="39" spans="2:8" ht="13.5" customHeight="1">
      <c r="B39" s="35" t="s">
        <v>540</v>
      </c>
      <c r="C39" s="1">
        <v>7</v>
      </c>
      <c r="D39" s="1">
        <v>9</v>
      </c>
      <c r="E39" s="1">
        <v>11</v>
      </c>
      <c r="F39" s="1">
        <v>9</v>
      </c>
      <c r="G39" s="1">
        <v>7</v>
      </c>
      <c r="H39" s="1">
        <v>43</v>
      </c>
    </row>
    <row r="40" spans="2:8" ht="13.5" customHeight="1">
      <c r="B40" s="35" t="s">
        <v>541</v>
      </c>
      <c r="C40" s="1">
        <v>7</v>
      </c>
      <c r="D40" s="1">
        <v>9</v>
      </c>
      <c r="E40" s="1">
        <v>11</v>
      </c>
      <c r="F40" s="1">
        <v>3</v>
      </c>
      <c r="G40" s="1">
        <v>3</v>
      </c>
      <c r="H40" s="1">
        <v>33</v>
      </c>
    </row>
    <row r="41" spans="2:8" ht="13.5" customHeight="1">
      <c r="B41" s="35" t="s">
        <v>542</v>
      </c>
      <c r="C41" s="1">
        <v>9</v>
      </c>
      <c r="D41" s="1">
        <v>11</v>
      </c>
      <c r="E41" s="1">
        <v>12</v>
      </c>
      <c r="F41" s="1">
        <v>11</v>
      </c>
      <c r="G41" s="1">
        <v>8</v>
      </c>
      <c r="H41" s="1">
        <v>51</v>
      </c>
    </row>
    <row r="42" spans="2:8" ht="13.5" customHeight="1">
      <c r="B42" s="35" t="s">
        <v>543</v>
      </c>
      <c r="C42" s="1">
        <v>4</v>
      </c>
      <c r="D42" s="1">
        <v>8</v>
      </c>
      <c r="E42" s="1">
        <v>10</v>
      </c>
      <c r="F42" s="1">
        <v>5</v>
      </c>
      <c r="G42" s="1">
        <v>6</v>
      </c>
      <c r="H42" s="1">
        <v>33</v>
      </c>
    </row>
    <row r="43" spans="2:8" ht="13.5" customHeight="1">
      <c r="B43" s="35" t="s">
        <v>544</v>
      </c>
      <c r="C43" s="1">
        <v>7</v>
      </c>
      <c r="D43" s="1">
        <v>9</v>
      </c>
      <c r="E43" s="1">
        <v>12</v>
      </c>
      <c r="F43" s="1">
        <v>8</v>
      </c>
      <c r="G43" s="1">
        <v>10</v>
      </c>
      <c r="H43" s="1">
        <v>46</v>
      </c>
    </row>
    <row r="44" spans="2:8" ht="13.5" customHeight="1">
      <c r="B44" s="35" t="s">
        <v>545</v>
      </c>
      <c r="C44" s="1">
        <v>9</v>
      </c>
      <c r="D44" s="1">
        <v>9</v>
      </c>
      <c r="E44" s="1">
        <v>10</v>
      </c>
      <c r="F44" s="1">
        <v>0</v>
      </c>
      <c r="G44" s="1">
        <v>0</v>
      </c>
      <c r="H44" s="1">
        <v>28</v>
      </c>
    </row>
    <row r="45" spans="2:8" ht="13.5" customHeight="1">
      <c r="B45" s="35" t="s">
        <v>546</v>
      </c>
      <c r="C45" s="1">
        <v>6</v>
      </c>
      <c r="D45" s="1">
        <v>11</v>
      </c>
      <c r="E45" s="1">
        <v>9</v>
      </c>
      <c r="F45" s="1">
        <v>9</v>
      </c>
      <c r="G45" s="1">
        <v>8</v>
      </c>
      <c r="H45" s="1">
        <v>43</v>
      </c>
    </row>
    <row r="46" spans="2:8" ht="13.5" customHeight="1">
      <c r="B46" s="35" t="s">
        <v>547</v>
      </c>
      <c r="C46" s="1">
        <v>6</v>
      </c>
      <c r="D46" s="1">
        <v>10</v>
      </c>
      <c r="E46" s="1">
        <v>11</v>
      </c>
      <c r="F46" s="1">
        <v>8</v>
      </c>
      <c r="G46" s="1">
        <v>4</v>
      </c>
      <c r="H46" s="1">
        <v>39</v>
      </c>
    </row>
    <row r="47" spans="2:8" ht="13.5" customHeight="1">
      <c r="B47" s="35" t="s">
        <v>548</v>
      </c>
      <c r="C47" s="1">
        <v>6</v>
      </c>
      <c r="D47" s="1">
        <v>11</v>
      </c>
      <c r="E47" s="1">
        <v>10</v>
      </c>
      <c r="F47" s="1">
        <v>8</v>
      </c>
      <c r="G47" s="1">
        <v>3</v>
      </c>
      <c r="H47" s="1">
        <v>38</v>
      </c>
    </row>
    <row r="48" spans="2:8" ht="13.5" customHeight="1">
      <c r="B48" s="35" t="s">
        <v>549</v>
      </c>
      <c r="C48" s="1">
        <v>6</v>
      </c>
      <c r="D48" s="1">
        <v>12</v>
      </c>
      <c r="E48" s="1">
        <v>7</v>
      </c>
      <c r="F48" s="1">
        <v>10</v>
      </c>
      <c r="G48" s="1">
        <v>8</v>
      </c>
      <c r="H48" s="1">
        <v>43</v>
      </c>
    </row>
    <row r="49" spans="2:8" ht="13.5" customHeight="1">
      <c r="B49" s="35" t="s">
        <v>550</v>
      </c>
      <c r="C49" s="1">
        <v>5</v>
      </c>
      <c r="D49" s="1">
        <v>11</v>
      </c>
      <c r="E49" s="1">
        <v>9</v>
      </c>
      <c r="F49" s="1">
        <v>8</v>
      </c>
      <c r="G49" s="1">
        <v>8</v>
      </c>
      <c r="H49" s="1">
        <v>41</v>
      </c>
    </row>
    <row r="50" spans="2:8" ht="13.5" customHeight="1">
      <c r="B50" s="35" t="s">
        <v>551</v>
      </c>
      <c r="C50" s="1">
        <v>4</v>
      </c>
      <c r="D50" s="1">
        <v>10</v>
      </c>
      <c r="E50" s="1">
        <v>10</v>
      </c>
      <c r="F50" s="1">
        <v>1</v>
      </c>
      <c r="G50" s="1">
        <v>4</v>
      </c>
      <c r="H50" s="1">
        <v>29</v>
      </c>
    </row>
    <row r="51" spans="2:8" ht="13.5" customHeight="1">
      <c r="B51" s="35" t="s">
        <v>552</v>
      </c>
      <c r="C51" s="1">
        <v>7</v>
      </c>
      <c r="D51" s="1">
        <v>12</v>
      </c>
      <c r="E51" s="1">
        <v>11</v>
      </c>
      <c r="F51" s="1">
        <v>8</v>
      </c>
      <c r="G51" s="1">
        <v>10</v>
      </c>
      <c r="H51" s="1">
        <v>48</v>
      </c>
    </row>
    <row r="52" spans="2:8" ht="13.5" customHeight="1">
      <c r="B52" s="35" t="s">
        <v>553</v>
      </c>
      <c r="C52" s="1">
        <v>7</v>
      </c>
      <c r="D52" s="1">
        <v>7</v>
      </c>
      <c r="E52" s="1">
        <v>10</v>
      </c>
      <c r="F52" s="1">
        <v>6</v>
      </c>
      <c r="G52" s="1">
        <v>4</v>
      </c>
      <c r="H52" s="1">
        <v>34</v>
      </c>
    </row>
    <row r="53" spans="2:8" ht="13.5" customHeight="1">
      <c r="B53" s="35" t="s">
        <v>554</v>
      </c>
      <c r="C53" s="1">
        <v>5</v>
      </c>
      <c r="D53" s="1">
        <v>10</v>
      </c>
      <c r="E53" s="1">
        <v>0</v>
      </c>
      <c r="F53" s="1">
        <v>0</v>
      </c>
      <c r="G53" s="1">
        <v>0</v>
      </c>
      <c r="H53" s="1">
        <v>15</v>
      </c>
    </row>
    <row r="54" spans="2:8" ht="13.5" customHeight="1">
      <c r="B54" s="35" t="s">
        <v>555</v>
      </c>
      <c r="C54" s="1">
        <v>9</v>
      </c>
      <c r="D54" s="1">
        <v>11</v>
      </c>
      <c r="E54" s="1">
        <v>10</v>
      </c>
      <c r="F54" s="1">
        <v>5</v>
      </c>
      <c r="G54" s="1">
        <v>0</v>
      </c>
      <c r="H54" s="1">
        <v>35</v>
      </c>
    </row>
    <row r="55" spans="2:8" ht="13.5" customHeight="1">
      <c r="B55" s="35" t="s">
        <v>556</v>
      </c>
      <c r="C55" s="1">
        <v>10</v>
      </c>
      <c r="D55" s="1">
        <v>11</v>
      </c>
      <c r="E55" s="1">
        <v>11</v>
      </c>
      <c r="F55" s="1">
        <v>10</v>
      </c>
      <c r="G55" s="1">
        <v>11</v>
      </c>
      <c r="H55" s="1">
        <v>53</v>
      </c>
    </row>
    <row r="56" spans="2:8" ht="15">
      <c r="B56" s="28" t="s">
        <v>557</v>
      </c>
      <c r="C56" s="28">
        <v>6.79</v>
      </c>
      <c r="D56" s="28">
        <v>9.68</v>
      </c>
      <c r="E56" s="28">
        <v>10.43</v>
      </c>
      <c r="F56" s="28">
        <v>7.15</v>
      </c>
      <c r="G56" s="28">
        <v>6.81</v>
      </c>
      <c r="H56" s="28">
        <v>40.869999999999997</v>
      </c>
    </row>
  </sheetData>
  <phoneticPr fontId="5"/>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H56"/>
  <sheetViews>
    <sheetView workbookViewId="0">
      <pane xSplit="1" ySplit="2" topLeftCell="B3" activePane="bottomRight" state="frozen"/>
      <selection pane="topRight"/>
      <selection pane="bottomLeft"/>
      <selection pane="bottomRight" activeCell="D6" sqref="D6"/>
    </sheetView>
  </sheetViews>
  <sheetFormatPr defaultColWidth="8.85546875" defaultRowHeight="15"/>
  <cols>
    <col min="1" max="1" width="3.42578125" customWidth="1"/>
    <col min="2" max="8" width="26.5703125" customWidth="1"/>
  </cols>
  <sheetData>
    <row r="2" spans="1:8">
      <c r="B2" s="10" t="s">
        <v>502</v>
      </c>
      <c r="C2" s="29" t="s">
        <v>496</v>
      </c>
      <c r="D2" s="30" t="s">
        <v>497</v>
      </c>
      <c r="E2" s="31" t="s">
        <v>498</v>
      </c>
      <c r="F2" s="32" t="s">
        <v>500</v>
      </c>
      <c r="G2" s="33" t="s">
        <v>501</v>
      </c>
      <c r="H2" s="19" t="s">
        <v>558</v>
      </c>
    </row>
    <row r="3" spans="1:8">
      <c r="B3" s="36" t="s">
        <v>504</v>
      </c>
      <c r="C3" s="37">
        <v>3.75</v>
      </c>
      <c r="D3" s="37">
        <v>4.5833333333333304</v>
      </c>
      <c r="E3" s="37">
        <v>5</v>
      </c>
      <c r="F3" s="37">
        <v>5</v>
      </c>
      <c r="G3" s="37">
        <v>4.583333333333333</v>
      </c>
      <c r="H3" s="38">
        <v>4.58</v>
      </c>
    </row>
    <row r="4" spans="1:8">
      <c r="B4" s="39" t="s">
        <v>505</v>
      </c>
      <c r="C4" s="37">
        <v>2.916666666666667</v>
      </c>
      <c r="D4" s="37">
        <v>2.916666666666667</v>
      </c>
      <c r="E4" s="37">
        <v>3.75</v>
      </c>
      <c r="F4" s="37">
        <v>2.5</v>
      </c>
      <c r="G4" s="37">
        <v>2.0833333333333335</v>
      </c>
      <c r="H4" s="38">
        <v>2.83</v>
      </c>
    </row>
    <row r="5" spans="1:8">
      <c r="B5" s="39" t="s">
        <v>506</v>
      </c>
      <c r="C5" s="37">
        <v>2.916666666666667</v>
      </c>
      <c r="D5" s="37">
        <v>4.166666666666667</v>
      </c>
      <c r="E5" s="37">
        <v>4.583333333333333</v>
      </c>
      <c r="F5" s="37">
        <v>4.166666666666667</v>
      </c>
      <c r="G5" s="37">
        <v>4.166666666666667</v>
      </c>
      <c r="H5" s="38">
        <v>4</v>
      </c>
    </row>
    <row r="6" spans="1:8">
      <c r="B6" s="39" t="s">
        <v>507</v>
      </c>
      <c r="C6" s="37">
        <v>3.333333333333333</v>
      </c>
      <c r="D6" s="37">
        <v>4.583333333333333</v>
      </c>
      <c r="E6" s="37">
        <v>4.583333333333333</v>
      </c>
      <c r="F6" s="37">
        <v>3.75</v>
      </c>
      <c r="G6" s="37">
        <v>2.916666666666667</v>
      </c>
      <c r="H6" s="38">
        <v>3.83</v>
      </c>
    </row>
    <row r="7" spans="1:8">
      <c r="B7" s="39" t="s">
        <v>508</v>
      </c>
      <c r="C7" s="37">
        <v>3.3333333333333299</v>
      </c>
      <c r="D7" s="37">
        <v>3.333333333333333</v>
      </c>
      <c r="E7" s="37">
        <v>4.166666666666667</v>
      </c>
      <c r="F7" s="37">
        <v>3.333333333333333</v>
      </c>
      <c r="G7" s="37">
        <v>3.333333333333333</v>
      </c>
      <c r="H7" s="38">
        <v>3.5</v>
      </c>
    </row>
    <row r="8" spans="1:8">
      <c r="A8" s="27"/>
      <c r="B8" s="39" t="s">
        <v>509</v>
      </c>
      <c r="C8" s="37">
        <v>3.333333333333333</v>
      </c>
      <c r="D8" s="37">
        <v>4.166666666666667</v>
      </c>
      <c r="E8" s="37">
        <v>5</v>
      </c>
      <c r="F8" s="37">
        <v>2.5</v>
      </c>
      <c r="G8" s="37">
        <v>2.5</v>
      </c>
      <c r="H8" s="38">
        <v>3.5</v>
      </c>
    </row>
    <row r="9" spans="1:8">
      <c r="B9" s="39" t="s">
        <v>510</v>
      </c>
      <c r="C9" s="37">
        <v>3.333333333333333</v>
      </c>
      <c r="D9" s="37">
        <v>4.583333333333333</v>
      </c>
      <c r="E9" s="37">
        <v>4.583333333333333</v>
      </c>
      <c r="F9" s="37">
        <v>3.333333333333333</v>
      </c>
      <c r="G9" s="37">
        <v>4.166666666666667</v>
      </c>
      <c r="H9" s="38">
        <v>4</v>
      </c>
    </row>
    <row r="10" spans="1:8">
      <c r="B10" s="39" t="s">
        <v>511</v>
      </c>
      <c r="C10" s="37">
        <v>2.5</v>
      </c>
      <c r="D10" s="37">
        <v>2.916666666666667</v>
      </c>
      <c r="E10" s="37">
        <v>4.166666666666667</v>
      </c>
      <c r="F10" s="37">
        <v>3.75</v>
      </c>
      <c r="G10" s="37">
        <v>2.916666666666667</v>
      </c>
      <c r="H10" s="38">
        <v>3.25</v>
      </c>
    </row>
    <row r="11" spans="1:8">
      <c r="B11" s="39" t="s">
        <v>512</v>
      </c>
      <c r="C11" s="37">
        <v>2.916666666666667</v>
      </c>
      <c r="D11" s="37">
        <v>4.583333333333333</v>
      </c>
      <c r="E11" s="37">
        <v>4.166666666666667</v>
      </c>
      <c r="F11" s="37">
        <v>3.333333333333333</v>
      </c>
      <c r="G11" s="37">
        <v>2.916666666666667</v>
      </c>
      <c r="H11" s="38">
        <v>3.58</v>
      </c>
    </row>
    <row r="12" spans="1:8">
      <c r="B12" s="39" t="s">
        <v>513</v>
      </c>
      <c r="C12" s="37">
        <v>2.5</v>
      </c>
      <c r="D12" s="37">
        <v>4.583333333333333</v>
      </c>
      <c r="E12" s="37">
        <v>5</v>
      </c>
      <c r="F12" s="37">
        <v>1.6666666666666665</v>
      </c>
      <c r="G12" s="37">
        <v>3.75</v>
      </c>
      <c r="H12" s="38">
        <v>3.5</v>
      </c>
    </row>
    <row r="13" spans="1:8">
      <c r="B13" s="39" t="s">
        <v>514</v>
      </c>
      <c r="C13" s="37">
        <v>2.916666666666667</v>
      </c>
      <c r="D13" s="37">
        <v>3.333333333333333</v>
      </c>
      <c r="E13" s="37">
        <v>5</v>
      </c>
      <c r="F13" s="37">
        <v>2.5</v>
      </c>
      <c r="G13" s="37">
        <v>2.5</v>
      </c>
      <c r="H13" s="38">
        <v>3.25</v>
      </c>
    </row>
    <row r="14" spans="1:8">
      <c r="B14" s="39" t="s">
        <v>515</v>
      </c>
      <c r="C14" s="37">
        <v>5</v>
      </c>
      <c r="D14" s="37">
        <v>5</v>
      </c>
      <c r="E14" s="37">
        <v>4.583333333333333</v>
      </c>
      <c r="F14" s="37">
        <v>4.583333333333333</v>
      </c>
      <c r="G14" s="37">
        <v>5</v>
      </c>
      <c r="H14" s="38">
        <v>4.83</v>
      </c>
    </row>
    <row r="15" spans="1:8">
      <c r="B15" s="39" t="s">
        <v>516</v>
      </c>
      <c r="C15" s="37">
        <v>3.333333333333333</v>
      </c>
      <c r="D15" s="37">
        <v>4.583333333333333</v>
      </c>
      <c r="E15" s="37">
        <v>4.166666666666667</v>
      </c>
      <c r="F15" s="37">
        <v>5</v>
      </c>
      <c r="G15" s="37">
        <v>5</v>
      </c>
      <c r="H15" s="38">
        <v>4.42</v>
      </c>
    </row>
    <row r="16" spans="1:8">
      <c r="B16" s="39" t="s">
        <v>517</v>
      </c>
      <c r="C16" s="37">
        <v>2.5</v>
      </c>
      <c r="D16" s="37">
        <v>4.583333333333333</v>
      </c>
      <c r="E16" s="37">
        <v>4.583333333333333</v>
      </c>
      <c r="F16" s="37">
        <v>3.75</v>
      </c>
      <c r="G16" s="37">
        <v>3.75</v>
      </c>
      <c r="H16" s="38">
        <v>3.83</v>
      </c>
    </row>
    <row r="17" spans="2:8">
      <c r="B17" s="39" t="s">
        <v>518</v>
      </c>
      <c r="C17" s="37">
        <v>2.0833333333333335</v>
      </c>
      <c r="D17" s="37">
        <v>3.333333333333333</v>
      </c>
      <c r="E17" s="37">
        <v>4.583333333333333</v>
      </c>
      <c r="F17" s="37">
        <v>2.0833333333333335</v>
      </c>
      <c r="G17" s="37">
        <v>2.916666666666667</v>
      </c>
      <c r="H17" s="38">
        <v>3</v>
      </c>
    </row>
    <row r="18" spans="2:8">
      <c r="B18" s="39" t="s">
        <v>519</v>
      </c>
      <c r="C18" s="37">
        <v>2.5</v>
      </c>
      <c r="D18" s="37">
        <v>4.583333333333333</v>
      </c>
      <c r="E18" s="37">
        <v>5</v>
      </c>
      <c r="F18" s="37">
        <v>3.333333333333333</v>
      </c>
      <c r="G18" s="37">
        <v>4.583333333333333</v>
      </c>
      <c r="H18" s="38">
        <v>4</v>
      </c>
    </row>
    <row r="19" spans="2:8">
      <c r="B19" s="39" t="s">
        <v>520</v>
      </c>
      <c r="C19" s="37">
        <v>2.5</v>
      </c>
      <c r="D19" s="37">
        <v>3.333333333333333</v>
      </c>
      <c r="E19" s="37">
        <v>4.166666666666667</v>
      </c>
      <c r="F19" s="37">
        <v>2.5</v>
      </c>
      <c r="G19" s="37">
        <v>3.75</v>
      </c>
      <c r="H19" s="38">
        <v>3.25</v>
      </c>
    </row>
    <row r="20" spans="2:8">
      <c r="B20" s="39" t="s">
        <v>521</v>
      </c>
      <c r="C20" s="37">
        <v>2.5</v>
      </c>
      <c r="D20" s="37">
        <v>3.75</v>
      </c>
      <c r="E20" s="37">
        <v>5</v>
      </c>
      <c r="F20" s="37">
        <v>4.166666666666667</v>
      </c>
      <c r="G20" s="37">
        <v>3.333333333333333</v>
      </c>
      <c r="H20" s="38">
        <v>3.75</v>
      </c>
    </row>
    <row r="21" spans="2:8">
      <c r="B21" s="39" t="s">
        <v>522</v>
      </c>
      <c r="C21" s="37">
        <v>3.75</v>
      </c>
      <c r="D21" s="37">
        <v>3.333333333333333</v>
      </c>
      <c r="E21" s="37">
        <v>4.166666666666667</v>
      </c>
      <c r="F21" s="37">
        <v>4.166666666666667</v>
      </c>
      <c r="G21" s="37">
        <v>4.583333333333333</v>
      </c>
      <c r="H21" s="38">
        <v>4</v>
      </c>
    </row>
    <row r="22" spans="2:8">
      <c r="B22" s="39" t="s">
        <v>523</v>
      </c>
      <c r="C22" s="37">
        <v>2.916666666666667</v>
      </c>
      <c r="D22" s="37">
        <v>4.583333333333333</v>
      </c>
      <c r="E22" s="37">
        <v>3.333333333333333</v>
      </c>
      <c r="F22" s="37">
        <v>0</v>
      </c>
      <c r="G22" s="37">
        <v>0</v>
      </c>
      <c r="H22" s="38">
        <v>2.17</v>
      </c>
    </row>
    <row r="23" spans="2:8">
      <c r="B23" s="39" t="s">
        <v>524</v>
      </c>
      <c r="C23" s="37">
        <v>2.0833333333333335</v>
      </c>
      <c r="D23" s="37">
        <v>4.166666666666667</v>
      </c>
      <c r="E23" s="37">
        <v>4.583333333333333</v>
      </c>
      <c r="F23" s="37">
        <v>2.0833333333333335</v>
      </c>
      <c r="G23" s="37">
        <v>0.83333333333333326</v>
      </c>
      <c r="H23" s="38">
        <v>2.75</v>
      </c>
    </row>
    <row r="24" spans="2:8">
      <c r="B24" s="39" t="s">
        <v>525</v>
      </c>
      <c r="C24" s="37">
        <v>2.5</v>
      </c>
      <c r="D24" s="37">
        <v>2.916666666666667</v>
      </c>
      <c r="E24" s="37">
        <v>4.166666666666667</v>
      </c>
      <c r="F24" s="37">
        <v>0</v>
      </c>
      <c r="G24" s="37">
        <v>0</v>
      </c>
      <c r="H24" s="38">
        <v>1.92</v>
      </c>
    </row>
    <row r="25" spans="2:8">
      <c r="B25" s="39" t="s">
        <v>526</v>
      </c>
      <c r="C25" s="37">
        <v>2.916666666666667</v>
      </c>
      <c r="D25" s="37">
        <v>2.5</v>
      </c>
      <c r="E25" s="37">
        <v>4.583333333333333</v>
      </c>
      <c r="F25" s="37">
        <v>0</v>
      </c>
      <c r="G25" s="37">
        <v>0</v>
      </c>
      <c r="H25" s="38">
        <v>2</v>
      </c>
    </row>
    <row r="26" spans="2:8">
      <c r="B26" s="39" t="s">
        <v>527</v>
      </c>
      <c r="C26" s="37">
        <v>3.333333333333333</v>
      </c>
      <c r="D26" s="37">
        <v>4.583333333333333</v>
      </c>
      <c r="E26" s="37">
        <v>4.583333333333333</v>
      </c>
      <c r="F26" s="37">
        <v>5</v>
      </c>
      <c r="G26" s="37">
        <v>4.583333333333333</v>
      </c>
      <c r="H26" s="38">
        <v>4.42</v>
      </c>
    </row>
    <row r="27" spans="2:8">
      <c r="B27" s="39" t="s">
        <v>528</v>
      </c>
      <c r="C27" s="37">
        <v>2.916666666666667</v>
      </c>
      <c r="D27" s="37">
        <v>4.166666666666667</v>
      </c>
      <c r="E27" s="37">
        <v>5</v>
      </c>
      <c r="F27" s="37">
        <v>3.333333333333333</v>
      </c>
      <c r="G27" s="37">
        <v>3.333333333333333</v>
      </c>
      <c r="H27" s="38">
        <v>3.75</v>
      </c>
    </row>
    <row r="28" spans="2:8">
      <c r="B28" s="39" t="s">
        <v>529</v>
      </c>
      <c r="C28" s="37">
        <v>2.5</v>
      </c>
      <c r="D28" s="37">
        <v>4.166666666666667</v>
      </c>
      <c r="E28" s="37">
        <v>4.166666666666667</v>
      </c>
      <c r="F28" s="37">
        <v>4.583333333333333</v>
      </c>
      <c r="G28" s="37">
        <v>4.583333333333333</v>
      </c>
      <c r="H28" s="38">
        <v>4</v>
      </c>
    </row>
    <row r="29" spans="2:8">
      <c r="B29" s="39" t="s">
        <v>530</v>
      </c>
      <c r="C29" s="37">
        <v>1.6666666666666665</v>
      </c>
      <c r="D29" s="37">
        <v>4.166666666666667</v>
      </c>
      <c r="E29" s="37">
        <v>4.583333333333333</v>
      </c>
      <c r="F29" s="37">
        <v>3.333333333333333</v>
      </c>
      <c r="G29" s="37">
        <v>2.916666666666667</v>
      </c>
      <c r="H29" s="38">
        <v>3.33</v>
      </c>
    </row>
    <row r="30" spans="2:8">
      <c r="B30" s="39" t="s">
        <v>531</v>
      </c>
      <c r="C30" s="37">
        <v>3.333333333333333</v>
      </c>
      <c r="D30" s="37">
        <v>4.166666666666667</v>
      </c>
      <c r="E30" s="37">
        <v>5</v>
      </c>
      <c r="F30" s="37">
        <v>3.75</v>
      </c>
      <c r="G30" s="37">
        <v>3.333333333333333</v>
      </c>
      <c r="H30" s="38">
        <v>3.92</v>
      </c>
    </row>
    <row r="31" spans="2:8">
      <c r="B31" s="39" t="s">
        <v>532</v>
      </c>
      <c r="C31" s="37">
        <v>2.916666666666667</v>
      </c>
      <c r="D31" s="37">
        <v>3.75</v>
      </c>
      <c r="E31" s="37">
        <v>3.75</v>
      </c>
      <c r="F31" s="37">
        <v>3.333333333333333</v>
      </c>
      <c r="G31" s="37">
        <v>2.916666666666667</v>
      </c>
      <c r="H31" s="38">
        <v>3.33</v>
      </c>
    </row>
    <row r="32" spans="2:8">
      <c r="B32" s="39" t="s">
        <v>533</v>
      </c>
      <c r="C32" s="37">
        <v>2.916666666666667</v>
      </c>
      <c r="D32" s="37">
        <v>4.583333333333333</v>
      </c>
      <c r="E32" s="37">
        <v>4.166666666666667</v>
      </c>
      <c r="F32" s="37">
        <v>2.5</v>
      </c>
      <c r="G32" s="37">
        <v>3.75</v>
      </c>
      <c r="H32" s="38">
        <v>3.58</v>
      </c>
    </row>
    <row r="33" spans="2:8">
      <c r="B33" s="39" t="s">
        <v>534</v>
      </c>
      <c r="C33" s="37">
        <v>2.0833333333333335</v>
      </c>
      <c r="D33" s="37">
        <v>3.75</v>
      </c>
      <c r="E33" s="37">
        <v>4.166666666666667</v>
      </c>
      <c r="F33" s="37">
        <v>4.166666666666667</v>
      </c>
      <c r="G33" s="37">
        <v>0.83333333333333326</v>
      </c>
      <c r="H33" s="38">
        <v>3</v>
      </c>
    </row>
    <row r="34" spans="2:8">
      <c r="B34" s="39" t="s">
        <v>535</v>
      </c>
      <c r="C34" s="37">
        <v>1.25</v>
      </c>
      <c r="D34" s="37">
        <v>3.333333333333333</v>
      </c>
      <c r="E34" s="37">
        <v>4.166666666666667</v>
      </c>
      <c r="F34" s="37">
        <v>0.83333333333333326</v>
      </c>
      <c r="G34" s="37">
        <v>1.25</v>
      </c>
      <c r="H34" s="38">
        <v>2.17</v>
      </c>
    </row>
    <row r="35" spans="2:8">
      <c r="B35" s="39" t="s">
        <v>536</v>
      </c>
      <c r="C35" s="37">
        <v>2.916666666666667</v>
      </c>
      <c r="D35" s="37">
        <v>2.5</v>
      </c>
      <c r="E35" s="37">
        <v>5</v>
      </c>
      <c r="F35" s="37">
        <v>2.5</v>
      </c>
      <c r="G35" s="37">
        <v>2.916666666666667</v>
      </c>
      <c r="H35" s="38">
        <v>3.17</v>
      </c>
    </row>
    <row r="36" spans="2:8">
      <c r="B36" s="39" t="s">
        <v>537</v>
      </c>
      <c r="C36" s="37">
        <v>1.6666666666666665</v>
      </c>
      <c r="D36" s="37">
        <v>4.583333333333333</v>
      </c>
      <c r="E36" s="37">
        <v>5</v>
      </c>
      <c r="F36" s="37">
        <v>4.583333333333333</v>
      </c>
      <c r="G36" s="37">
        <v>3.333333333333333</v>
      </c>
      <c r="H36" s="38">
        <v>3.83</v>
      </c>
    </row>
    <row r="37" spans="2:8">
      <c r="B37" s="39" t="s">
        <v>538</v>
      </c>
      <c r="C37" s="37">
        <v>2.5</v>
      </c>
      <c r="D37" s="37">
        <v>3.333333333333333</v>
      </c>
      <c r="E37" s="37">
        <v>4.583333333333333</v>
      </c>
      <c r="F37" s="37">
        <v>3.75</v>
      </c>
      <c r="G37" s="37">
        <v>4.583333333333333</v>
      </c>
      <c r="H37" s="38">
        <v>3.75</v>
      </c>
    </row>
    <row r="38" spans="2:8">
      <c r="B38" s="39" t="s">
        <v>539</v>
      </c>
      <c r="C38" s="37">
        <v>4.166666666666667</v>
      </c>
      <c r="D38" s="37">
        <v>5</v>
      </c>
      <c r="E38" s="37">
        <v>5</v>
      </c>
      <c r="F38" s="37">
        <v>3.333333333333333</v>
      </c>
      <c r="G38" s="37">
        <v>3.333333333333333</v>
      </c>
      <c r="H38" s="38">
        <v>4.17</v>
      </c>
    </row>
    <row r="39" spans="2:8">
      <c r="B39" s="39" t="s">
        <v>540</v>
      </c>
      <c r="C39" s="37">
        <v>2.916666666666667</v>
      </c>
      <c r="D39" s="37">
        <v>3.75</v>
      </c>
      <c r="E39" s="37">
        <v>4.583333333333333</v>
      </c>
      <c r="F39" s="37">
        <v>3.75</v>
      </c>
      <c r="G39" s="37">
        <v>2.916666666666667</v>
      </c>
      <c r="H39" s="38">
        <v>3.58</v>
      </c>
    </row>
    <row r="40" spans="2:8">
      <c r="B40" s="39" t="s">
        <v>541</v>
      </c>
      <c r="C40" s="37">
        <v>2.916666666666667</v>
      </c>
      <c r="D40" s="37">
        <v>3.75</v>
      </c>
      <c r="E40" s="37">
        <v>4.583333333333333</v>
      </c>
      <c r="F40" s="37">
        <v>1.25</v>
      </c>
      <c r="G40" s="37">
        <v>1.25</v>
      </c>
      <c r="H40" s="38">
        <v>2.75</v>
      </c>
    </row>
    <row r="41" spans="2:8">
      <c r="B41" s="39" t="s">
        <v>542</v>
      </c>
      <c r="C41" s="37">
        <v>3.75</v>
      </c>
      <c r="D41" s="37">
        <v>4.583333333333333</v>
      </c>
      <c r="E41" s="37">
        <v>5</v>
      </c>
      <c r="F41" s="37">
        <v>4.583333333333333</v>
      </c>
      <c r="G41" s="37">
        <v>3.333333333333333</v>
      </c>
      <c r="H41" s="38">
        <v>4.25</v>
      </c>
    </row>
    <row r="42" spans="2:8">
      <c r="B42" s="39" t="s">
        <v>543</v>
      </c>
      <c r="C42" s="37">
        <v>1.6666666666666665</v>
      </c>
      <c r="D42" s="37">
        <v>3.333333333333333</v>
      </c>
      <c r="E42" s="37">
        <v>4.166666666666667</v>
      </c>
      <c r="F42" s="37">
        <v>2.0833333333333335</v>
      </c>
      <c r="G42" s="37">
        <v>2.5</v>
      </c>
      <c r="H42" s="38">
        <v>2.75</v>
      </c>
    </row>
    <row r="43" spans="2:8">
      <c r="B43" s="39" t="s">
        <v>544</v>
      </c>
      <c r="C43" s="37">
        <v>2.916666666666667</v>
      </c>
      <c r="D43" s="37">
        <v>3.75</v>
      </c>
      <c r="E43" s="37">
        <v>5</v>
      </c>
      <c r="F43" s="37">
        <v>3.333333333333333</v>
      </c>
      <c r="G43" s="37">
        <v>4.166666666666667</v>
      </c>
      <c r="H43" s="38">
        <v>3.83</v>
      </c>
    </row>
    <row r="44" spans="2:8">
      <c r="B44" s="39" t="s">
        <v>545</v>
      </c>
      <c r="C44" s="37">
        <v>3.75</v>
      </c>
      <c r="D44" s="37">
        <v>3.75</v>
      </c>
      <c r="E44" s="37">
        <v>4.166666666666667</v>
      </c>
      <c r="F44" s="37">
        <v>0</v>
      </c>
      <c r="G44" s="37">
        <v>0</v>
      </c>
      <c r="H44" s="38">
        <v>2.33</v>
      </c>
    </row>
    <row r="45" spans="2:8">
      <c r="B45" s="39" t="s">
        <v>546</v>
      </c>
      <c r="C45" s="37">
        <v>2.5</v>
      </c>
      <c r="D45" s="37">
        <v>4.583333333333333</v>
      </c>
      <c r="E45" s="37">
        <v>3.75</v>
      </c>
      <c r="F45" s="37">
        <v>3.75</v>
      </c>
      <c r="G45" s="37">
        <v>3.333333333333333</v>
      </c>
      <c r="H45" s="38">
        <v>3.58</v>
      </c>
    </row>
    <row r="46" spans="2:8">
      <c r="B46" s="39" t="s">
        <v>547</v>
      </c>
      <c r="C46" s="37">
        <v>2.5</v>
      </c>
      <c r="D46" s="37">
        <v>4.166666666666667</v>
      </c>
      <c r="E46" s="37">
        <v>4.583333333333333</v>
      </c>
      <c r="F46" s="37">
        <v>3.333333333333333</v>
      </c>
      <c r="G46" s="37">
        <v>1.6666666666666665</v>
      </c>
      <c r="H46" s="38">
        <v>3.25</v>
      </c>
    </row>
    <row r="47" spans="2:8">
      <c r="B47" s="39" t="s">
        <v>548</v>
      </c>
      <c r="C47" s="37">
        <v>2.5</v>
      </c>
      <c r="D47" s="37">
        <v>4.583333333333333</v>
      </c>
      <c r="E47" s="37">
        <v>4.166666666666667</v>
      </c>
      <c r="F47" s="37">
        <v>3.333333333333333</v>
      </c>
      <c r="G47" s="37">
        <v>1.25</v>
      </c>
      <c r="H47" s="38">
        <v>3.17</v>
      </c>
    </row>
    <row r="48" spans="2:8">
      <c r="B48" s="39" t="s">
        <v>549</v>
      </c>
      <c r="C48" s="37">
        <v>2.5</v>
      </c>
      <c r="D48" s="37">
        <v>5</v>
      </c>
      <c r="E48" s="37">
        <v>2.916666666666667</v>
      </c>
      <c r="F48" s="37">
        <v>4.166666666666667</v>
      </c>
      <c r="G48" s="37">
        <v>3.333333333333333</v>
      </c>
      <c r="H48" s="38">
        <v>3.58</v>
      </c>
    </row>
    <row r="49" spans="2:8">
      <c r="B49" s="39" t="s">
        <v>550</v>
      </c>
      <c r="C49" s="37">
        <v>2.0833333333333335</v>
      </c>
      <c r="D49" s="37">
        <v>4.583333333333333</v>
      </c>
      <c r="E49" s="37">
        <v>3.75</v>
      </c>
      <c r="F49" s="37">
        <v>3.333333333333333</v>
      </c>
      <c r="G49" s="37">
        <v>3.333333333333333</v>
      </c>
      <c r="H49" s="38">
        <v>3.42</v>
      </c>
    </row>
    <row r="50" spans="2:8">
      <c r="B50" s="39" t="s">
        <v>551</v>
      </c>
      <c r="C50" s="37">
        <v>1.6666666666666665</v>
      </c>
      <c r="D50" s="37">
        <v>4.166666666666667</v>
      </c>
      <c r="E50" s="37">
        <v>4.166666666666667</v>
      </c>
      <c r="F50" s="37">
        <v>0.41666666666666663</v>
      </c>
      <c r="G50" s="37">
        <v>1.6666666666666665</v>
      </c>
      <c r="H50" s="38">
        <v>2.42</v>
      </c>
    </row>
    <row r="51" spans="2:8">
      <c r="B51" s="39" t="s">
        <v>552</v>
      </c>
      <c r="C51" s="37">
        <v>2.916666666666667</v>
      </c>
      <c r="D51" s="37">
        <v>5</v>
      </c>
      <c r="E51" s="37">
        <v>4.583333333333333</v>
      </c>
      <c r="F51" s="37">
        <v>3.333333333333333</v>
      </c>
      <c r="G51" s="37">
        <v>4.166666666666667</v>
      </c>
      <c r="H51" s="38">
        <v>4</v>
      </c>
    </row>
    <row r="52" spans="2:8">
      <c r="B52" s="39" t="s">
        <v>553</v>
      </c>
      <c r="C52" s="37">
        <v>2.916666666666667</v>
      </c>
      <c r="D52" s="37">
        <v>2.916666666666667</v>
      </c>
      <c r="E52" s="37">
        <v>4.166666666666667</v>
      </c>
      <c r="F52" s="37">
        <v>2.5</v>
      </c>
      <c r="G52" s="37">
        <v>1.6666666666666665</v>
      </c>
      <c r="H52" s="38">
        <v>2.83</v>
      </c>
    </row>
    <row r="53" spans="2:8">
      <c r="B53" s="39" t="s">
        <v>554</v>
      </c>
      <c r="C53" s="37">
        <v>2.0833333333333335</v>
      </c>
      <c r="D53" s="37">
        <v>4.166666666666667</v>
      </c>
      <c r="E53" s="37">
        <v>0</v>
      </c>
      <c r="F53" s="37">
        <v>0</v>
      </c>
      <c r="G53" s="37">
        <v>0</v>
      </c>
      <c r="H53" s="38">
        <v>1.25</v>
      </c>
    </row>
    <row r="54" spans="2:8">
      <c r="B54" s="39" t="s">
        <v>555</v>
      </c>
      <c r="C54" s="37">
        <v>3.75</v>
      </c>
      <c r="D54" s="37">
        <v>4.583333333333333</v>
      </c>
      <c r="E54" s="37">
        <v>4.166666666666667</v>
      </c>
      <c r="F54" s="37">
        <v>2.0833333333333335</v>
      </c>
      <c r="G54" s="37">
        <v>0</v>
      </c>
      <c r="H54" s="38">
        <v>2.92</v>
      </c>
    </row>
    <row r="55" spans="2:8">
      <c r="B55" s="39" t="s">
        <v>556</v>
      </c>
      <c r="C55" s="37">
        <v>4.166666666666667</v>
      </c>
      <c r="D55" s="37">
        <v>4.583333333333333</v>
      </c>
      <c r="E55" s="37">
        <v>4.583333333333333</v>
      </c>
      <c r="F55" s="37">
        <v>4.166666666666667</v>
      </c>
      <c r="G55" s="37">
        <v>4.583333333333333</v>
      </c>
      <c r="H55" s="38">
        <v>4.42</v>
      </c>
    </row>
    <row r="56" spans="2:8">
      <c r="B56" s="40" t="s">
        <v>559</v>
      </c>
      <c r="C56" s="41">
        <v>2.83</v>
      </c>
      <c r="D56" s="41">
        <v>4.03</v>
      </c>
      <c r="E56" s="41">
        <v>4.3499999999999996</v>
      </c>
      <c r="F56" s="41">
        <v>2.98</v>
      </c>
      <c r="G56" s="41">
        <v>2.84</v>
      </c>
      <c r="H56" s="42">
        <v>3.41</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2D132-3058-4B20-BD38-70B1E6CAB497}">
  <sheetPr codeName="Sheet8"/>
  <dimension ref="A1:J42"/>
  <sheetViews>
    <sheetView zoomScaleNormal="100" workbookViewId="0">
      <selection activeCell="D21" sqref="D21"/>
    </sheetView>
  </sheetViews>
  <sheetFormatPr defaultColWidth="8.5703125" defaultRowHeight="15"/>
  <cols>
    <col min="1" max="1" width="16.42578125" style="21" customWidth="1"/>
    <col min="2" max="2" width="18.42578125" style="21" bestFit="1" customWidth="1"/>
    <col min="3" max="5" width="17" style="21" customWidth="1"/>
    <col min="6" max="10" width="3.85546875" style="21" customWidth="1"/>
    <col min="11" max="16384" width="8.5703125" style="21"/>
  </cols>
  <sheetData>
    <row r="1" spans="1:10">
      <c r="A1" s="20"/>
    </row>
    <row r="2" spans="1:10">
      <c r="A2" s="20" t="str" cm="1">
        <f t="array" aca="1" ref="A2" ca="1">RIGHT(CELL("filename", A1), LEN(CELL("filename", A1)) - FIND("]", CELL("filename", A1)))</f>
        <v>aaa</v>
      </c>
    </row>
    <row r="3" spans="1:10">
      <c r="A3" s="20" t="s">
        <v>560</v>
      </c>
      <c r="D3" s="22"/>
      <c r="E3" s="22" t="s">
        <v>561</v>
      </c>
    </row>
    <row r="4" spans="1:10">
      <c r="D4" s="23"/>
      <c r="E4" s="24">
        <f>AVERAGE($D27:$D31)</f>
        <v>4.5833333333333321</v>
      </c>
      <c r="F4" s="21">
        <f>IF(E4&gt;=1,1,E4)</f>
        <v>1</v>
      </c>
      <c r="G4" s="21">
        <f>IF(E4-1&gt;=1,1,IF(E4-1&gt;0,E4-1,0))</f>
        <v>1</v>
      </c>
      <c r="H4" s="21">
        <f>IF(E4-2&gt;=1,1,IF(E4-2&gt;0,E4-2,0))</f>
        <v>1</v>
      </c>
      <c r="I4" s="21">
        <f>IF(E4-3&gt;=1,1,IF(E4-3&gt;0,E4-3,0))</f>
        <v>1</v>
      </c>
      <c r="J4" s="21">
        <f>IF(E4-4&gt;=1,1,IF(E4-4&gt;0,E4-4,0))</f>
        <v>0.58333333333333215</v>
      </c>
    </row>
    <row r="6" spans="1:10">
      <c r="A6" s="20" t="s">
        <v>562</v>
      </c>
    </row>
    <row r="24" spans="1:5">
      <c r="A24" s="20" t="s">
        <v>563</v>
      </c>
    </row>
    <row r="26" spans="1:5">
      <c r="B26" s="43" t="s">
        <v>564</v>
      </c>
      <c r="C26" s="44" t="s">
        <v>565</v>
      </c>
      <c r="D26" s="45" t="s">
        <v>566</v>
      </c>
      <c r="E26" s="25"/>
    </row>
    <row r="27" spans="1:5">
      <c r="B27" s="46" t="s">
        <v>496</v>
      </c>
      <c r="C27" s="47">
        <v>2.83</v>
      </c>
      <c r="D27" s="48">
        <f>'5点評価'!C3</f>
        <v>3.75</v>
      </c>
      <c r="E27" s="26"/>
    </row>
    <row r="28" spans="1:5">
      <c r="B28" s="49" t="s">
        <v>497</v>
      </c>
      <c r="C28" s="50">
        <v>4.03</v>
      </c>
      <c r="D28" s="51">
        <f>'5点評価'!D3</f>
        <v>4.5833333333333304</v>
      </c>
      <c r="E28" s="26"/>
    </row>
    <row r="29" spans="1:5">
      <c r="B29" s="52" t="s">
        <v>498</v>
      </c>
      <c r="C29" s="53">
        <v>4.3499999999999996</v>
      </c>
      <c r="D29" s="54">
        <f>'5点評価'!E3</f>
        <v>5</v>
      </c>
      <c r="E29" s="26"/>
    </row>
    <row r="30" spans="1:5">
      <c r="B30" s="55" t="s">
        <v>500</v>
      </c>
      <c r="C30" s="56">
        <v>2.98</v>
      </c>
      <c r="D30" s="57">
        <f>'5点評価'!F3</f>
        <v>5</v>
      </c>
      <c r="E30" s="26"/>
    </row>
    <row r="31" spans="1:5">
      <c r="B31" s="58" t="s">
        <v>501</v>
      </c>
      <c r="C31" s="59">
        <v>2.84</v>
      </c>
      <c r="D31" s="60">
        <f>'5点評価'!G3</f>
        <v>4.583333333333333</v>
      </c>
      <c r="E31" s="26"/>
    </row>
    <row r="33" spans="1:8">
      <c r="A33" s="20" t="s">
        <v>567</v>
      </c>
    </row>
    <row r="35" spans="1:8">
      <c r="A35" s="21" t="s">
        <v>568</v>
      </c>
    </row>
    <row r="36" spans="1:8" ht="105" customHeight="1">
      <c r="A36" s="66"/>
      <c r="B36" s="66"/>
      <c r="C36" s="66"/>
      <c r="D36" s="66"/>
      <c r="E36" s="66"/>
      <c r="F36" s="66"/>
      <c r="G36" s="66"/>
      <c r="H36" s="66"/>
    </row>
    <row r="38" spans="1:8">
      <c r="A38" s="21" t="s">
        <v>569</v>
      </c>
    </row>
    <row r="39" spans="1:8" ht="104.25" customHeight="1">
      <c r="A39" s="66"/>
      <c r="B39" s="66"/>
      <c r="C39" s="66"/>
      <c r="D39" s="66"/>
      <c r="E39" s="66"/>
      <c r="F39" s="66"/>
      <c r="G39" s="66"/>
      <c r="H39" s="66"/>
    </row>
    <row r="41" spans="1:8">
      <c r="A41" s="21" t="s">
        <v>570</v>
      </c>
    </row>
    <row r="42" spans="1:8" ht="105" customHeight="1">
      <c r="A42" s="66"/>
      <c r="B42" s="66"/>
      <c r="C42" s="66"/>
      <c r="D42" s="66"/>
      <c r="E42" s="66"/>
      <c r="F42" s="66"/>
      <c r="G42" s="66"/>
      <c r="H42" s="66"/>
    </row>
  </sheetData>
  <mergeCells count="3">
    <mergeCell ref="A36:H36"/>
    <mergeCell ref="A39:H39"/>
    <mergeCell ref="A42:H42"/>
  </mergeCells>
  <phoneticPr fontId="5"/>
  <printOptions horizontalCentered="1" verticalCentered="1"/>
  <pageMargins left="0.25" right="0.25" top="0.75" bottom="0.75" header="0.3" footer="0.3"/>
  <pageSetup paperSize="9" scale="66"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 id="{F370109F-9DF5-42E8-AEA4-675C037F0E61}">
            <x14:iconSet iconSet="3Stars" showValue="0">
              <x14:cfvo type="percent">
                <xm:f>0</xm:f>
              </x14:cfvo>
              <x14:cfvo type="num">
                <xm:f>0.01</xm:f>
              </x14:cfvo>
              <x14:cfvo type="num">
                <xm:f>1</xm:f>
              </x14:cfvo>
            </x14:iconSet>
          </x14:cfRule>
          <xm:sqref>F4:J4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091E6-09C9-4550-9BA8-6A806AA98C97}">
  <sheetPr codeName="Sheet9"/>
  <dimension ref="A1:J42"/>
  <sheetViews>
    <sheetView zoomScaleNormal="100" workbookViewId="0"/>
  </sheetViews>
  <sheetFormatPr defaultColWidth="8.5703125" defaultRowHeight="15"/>
  <cols>
    <col min="1" max="1" width="16.42578125" style="21" customWidth="1"/>
    <col min="2" max="2" width="18.42578125" style="21" bestFit="1" customWidth="1"/>
    <col min="3" max="5" width="17" style="21" customWidth="1"/>
    <col min="6" max="10" width="3.85546875" style="21" customWidth="1"/>
    <col min="11" max="16384" width="8.5703125" style="21"/>
  </cols>
  <sheetData>
    <row r="1" spans="1:10">
      <c r="A1" s="20" t="s">
        <v>578</v>
      </c>
    </row>
    <row r="2" spans="1:10">
      <c r="A2" s="20" t="str" cm="1">
        <f t="array" aca="1" ref="A2" ca="1">RIGHT(CELL("filename", A1), LEN(CELL("filename", A1)) - FIND("]", CELL("filename", A1)))</f>
        <v>bbb</v>
      </c>
    </row>
    <row r="3" spans="1:10">
      <c r="A3" s="20" t="s">
        <v>560</v>
      </c>
      <c r="D3" s="22"/>
      <c r="E3" s="22" t="s">
        <v>561</v>
      </c>
    </row>
    <row r="4" spans="1:10">
      <c r="D4" s="23"/>
      <c r="E4" s="24">
        <f>AVERAGE($D27:$D31)</f>
        <v>2.8333333333333335</v>
      </c>
      <c r="F4" s="21">
        <f>IF(E4&gt;=1,1,E4)</f>
        <v>1</v>
      </c>
      <c r="G4" s="21">
        <f>IF(E4-1&gt;=1,1,IF(E4-1&gt;0,E4-1,0))</f>
        <v>1</v>
      </c>
      <c r="H4" s="21">
        <f>IF(E4-2&gt;=1,1,IF(E4-2&gt;0,E4-2,0))</f>
        <v>0.83333333333333348</v>
      </c>
      <c r="I4" s="21">
        <f>IF(E4-3&gt;=1,1,IF(E4-3&gt;0,E4-3,0))</f>
        <v>0</v>
      </c>
      <c r="J4" s="21">
        <f>IF(E4-4&gt;=1,1,IF(E4-4&gt;0,E4-4,0))</f>
        <v>0</v>
      </c>
    </row>
    <row r="6" spans="1:10">
      <c r="A6" s="20" t="s">
        <v>562</v>
      </c>
    </row>
    <row r="24" spans="1:5">
      <c r="A24" s="20" t="s">
        <v>563</v>
      </c>
    </row>
    <row r="26" spans="1:5">
      <c r="B26" s="43" t="s">
        <v>564</v>
      </c>
      <c r="C26" s="44" t="s">
        <v>565</v>
      </c>
      <c r="D26" s="45" t="s">
        <v>566</v>
      </c>
      <c r="E26" s="25"/>
    </row>
    <row r="27" spans="1:5">
      <c r="B27" s="46" t="s">
        <v>496</v>
      </c>
      <c r="C27" s="47">
        <v>2.83</v>
      </c>
      <c r="D27" s="48">
        <f>'5点評価'!C4</f>
        <v>2.916666666666667</v>
      </c>
      <c r="E27" s="26"/>
    </row>
    <row r="28" spans="1:5">
      <c r="B28" s="49" t="s">
        <v>497</v>
      </c>
      <c r="C28" s="50">
        <v>4.03</v>
      </c>
      <c r="D28" s="51">
        <f>'5点評価'!D4</f>
        <v>2.916666666666667</v>
      </c>
      <c r="E28" s="26"/>
    </row>
    <row r="29" spans="1:5">
      <c r="B29" s="52" t="s">
        <v>498</v>
      </c>
      <c r="C29" s="53">
        <v>4.3499999999999996</v>
      </c>
      <c r="D29" s="54">
        <f>'5点評価'!E4</f>
        <v>3.75</v>
      </c>
      <c r="E29" s="26"/>
    </row>
    <row r="30" spans="1:5">
      <c r="B30" s="55" t="s">
        <v>500</v>
      </c>
      <c r="C30" s="56">
        <v>2.98</v>
      </c>
      <c r="D30" s="57">
        <f>'5点評価'!F4</f>
        <v>2.5</v>
      </c>
      <c r="E30" s="26"/>
    </row>
    <row r="31" spans="1:5">
      <c r="B31" s="58" t="s">
        <v>501</v>
      </c>
      <c r="C31" s="59">
        <v>2.84</v>
      </c>
      <c r="D31" s="60">
        <f>'5点評価'!G4</f>
        <v>2.0833333333333335</v>
      </c>
      <c r="E31" s="26"/>
    </row>
    <row r="33" spans="1:8">
      <c r="A33" s="20" t="s">
        <v>567</v>
      </c>
    </row>
    <row r="35" spans="1:8">
      <c r="A35" s="21" t="s">
        <v>568</v>
      </c>
    </row>
    <row r="36" spans="1:8" ht="105" customHeight="1">
      <c r="A36" s="66" t="s">
        <v>571</v>
      </c>
      <c r="B36" s="66"/>
      <c r="C36" s="66"/>
      <c r="D36" s="66"/>
      <c r="E36" s="66"/>
      <c r="F36" s="66"/>
      <c r="G36" s="66"/>
      <c r="H36" s="66"/>
    </row>
    <row r="38" spans="1:8">
      <c r="A38" s="21" t="s">
        <v>569</v>
      </c>
    </row>
    <row r="39" spans="1:8" ht="104.25" customHeight="1">
      <c r="A39" s="66" t="s">
        <v>572</v>
      </c>
      <c r="B39" s="66"/>
      <c r="C39" s="66"/>
      <c r="D39" s="66"/>
      <c r="E39" s="66"/>
      <c r="F39" s="66"/>
      <c r="G39" s="66"/>
      <c r="H39" s="66"/>
    </row>
    <row r="41" spans="1:8">
      <c r="A41" s="21" t="s">
        <v>570</v>
      </c>
    </row>
    <row r="42" spans="1:8" ht="105" customHeight="1">
      <c r="A42" s="66" t="s">
        <v>573</v>
      </c>
      <c r="B42" s="66"/>
      <c r="C42" s="66"/>
      <c r="D42" s="66"/>
      <c r="E42" s="66"/>
      <c r="F42" s="66"/>
      <c r="G42" s="66"/>
      <c r="H42" s="66"/>
    </row>
  </sheetData>
  <mergeCells count="3">
    <mergeCell ref="A36:H36"/>
    <mergeCell ref="A39:H39"/>
    <mergeCell ref="A42:H42"/>
  </mergeCells>
  <phoneticPr fontId="5"/>
  <printOptions horizontalCentered="1" verticalCentered="1"/>
  <pageMargins left="0.25" right="0.25" top="0.75" bottom="0.75" header="0.3" footer="0.3"/>
  <pageSetup paperSize="9" scale="66"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 id="{D0FA150E-ED96-418D-81C5-C280AD105DCD}">
            <x14:iconSet iconSet="3Stars" showValue="0">
              <x14:cfvo type="percent">
                <xm:f>0</xm:f>
              </x14:cfvo>
              <x14:cfvo type="num">
                <xm:f>0.01</xm:f>
              </x14:cfvo>
              <x14:cfvo type="num">
                <xm:f>1</xm:f>
              </x14:cfvo>
            </x14:iconSet>
          </x14:cfRule>
          <xm:sqref>F4:J4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E4D4-ED58-4CCD-A488-62B864949269}">
  <sheetPr codeName="Sheet10"/>
  <dimension ref="A1:J42"/>
  <sheetViews>
    <sheetView zoomScaleNormal="100" workbookViewId="0">
      <selection activeCell="A36" sqref="A36:H36"/>
    </sheetView>
  </sheetViews>
  <sheetFormatPr defaultColWidth="8.5703125" defaultRowHeight="15"/>
  <cols>
    <col min="1" max="1" width="16.42578125" style="21" customWidth="1"/>
    <col min="2" max="2" width="18.42578125" style="21" bestFit="1" customWidth="1"/>
    <col min="3" max="5" width="17" style="21" customWidth="1"/>
    <col min="6" max="10" width="3.85546875" style="21" customWidth="1"/>
    <col min="11" max="16384" width="8.5703125" style="21"/>
  </cols>
  <sheetData>
    <row r="1" spans="1:10">
      <c r="A1" s="20"/>
    </row>
    <row r="2" spans="1:10">
      <c r="A2" s="20" t="str" cm="1">
        <f t="array" aca="1" ref="A2" ca="1">RIGHT(CELL("filename", A1), LEN(CELL("filename", A1)) - FIND("]", CELL("filename", A1)))</f>
        <v>ccc</v>
      </c>
    </row>
    <row r="3" spans="1:10">
      <c r="A3" s="20" t="s">
        <v>560</v>
      </c>
      <c r="D3" s="22"/>
      <c r="E3" s="22" t="s">
        <v>561</v>
      </c>
    </row>
    <row r="4" spans="1:10">
      <c r="D4" s="23"/>
      <c r="E4" s="24">
        <f>AVERAGE($D27:$D31)</f>
        <v>4.0000000000000009</v>
      </c>
      <c r="F4" s="21">
        <f>IF(E4&gt;=1,1,E4)</f>
        <v>1</v>
      </c>
      <c r="G4" s="21">
        <f>IF(E4-1&gt;=1,1,IF(E4-1&gt;0,E4-1,0))</f>
        <v>1</v>
      </c>
      <c r="H4" s="21">
        <f>IF(E4-2&gt;=1,1,IF(E4-2&gt;0,E4-2,0))</f>
        <v>1</v>
      </c>
      <c r="I4" s="21">
        <f>IF(E4-3&gt;=1,1,IF(E4-3&gt;0,E4-3,0))</f>
        <v>1</v>
      </c>
      <c r="J4" s="21">
        <f>IF(E4-4&gt;=1,1,IF(E4-4&gt;0,E4-4,0))</f>
        <v>8.8817841970012523E-16</v>
      </c>
    </row>
    <row r="6" spans="1:10">
      <c r="A6" s="20" t="s">
        <v>562</v>
      </c>
    </row>
    <row r="24" spans="1:5">
      <c r="A24" s="20" t="s">
        <v>563</v>
      </c>
    </row>
    <row r="26" spans="1:5">
      <c r="B26" s="43" t="s">
        <v>574</v>
      </c>
      <c r="C26" s="44" t="s">
        <v>565</v>
      </c>
      <c r="D26" s="45" t="s">
        <v>566</v>
      </c>
      <c r="E26" s="25"/>
    </row>
    <row r="27" spans="1:5">
      <c r="B27" s="46" t="s">
        <v>496</v>
      </c>
      <c r="C27" s="47">
        <v>2.83</v>
      </c>
      <c r="D27" s="48">
        <f>'5点評価'!C5</f>
        <v>2.916666666666667</v>
      </c>
      <c r="E27" s="26"/>
    </row>
    <row r="28" spans="1:5">
      <c r="B28" s="49" t="s">
        <v>497</v>
      </c>
      <c r="C28" s="50">
        <v>4.03</v>
      </c>
      <c r="D28" s="51">
        <f>'5点評価'!D5</f>
        <v>4.166666666666667</v>
      </c>
      <c r="E28" s="26"/>
    </row>
    <row r="29" spans="1:5">
      <c r="B29" s="52" t="s">
        <v>498</v>
      </c>
      <c r="C29" s="53">
        <v>4.3499999999999996</v>
      </c>
      <c r="D29" s="54">
        <f>'5点評価'!E5</f>
        <v>4.583333333333333</v>
      </c>
      <c r="E29" s="26"/>
    </row>
    <row r="30" spans="1:5">
      <c r="B30" s="55" t="s">
        <v>500</v>
      </c>
      <c r="C30" s="56">
        <v>2.98</v>
      </c>
      <c r="D30" s="57">
        <f>'5点評価'!F5</f>
        <v>4.166666666666667</v>
      </c>
      <c r="E30" s="26"/>
    </row>
    <row r="31" spans="1:5">
      <c r="B31" s="58" t="s">
        <v>501</v>
      </c>
      <c r="C31" s="59">
        <v>2.84</v>
      </c>
      <c r="D31" s="60">
        <f>'5点評価'!G5</f>
        <v>4.166666666666667</v>
      </c>
      <c r="E31" s="26"/>
    </row>
    <row r="33" spans="1:8">
      <c r="A33" s="20" t="s">
        <v>567</v>
      </c>
    </row>
    <row r="35" spans="1:8">
      <c r="A35" s="21" t="s">
        <v>568</v>
      </c>
    </row>
    <row r="36" spans="1:8" ht="105" customHeight="1">
      <c r="A36" s="66" t="s">
        <v>575</v>
      </c>
      <c r="B36" s="66"/>
      <c r="C36" s="66"/>
      <c r="D36" s="66"/>
      <c r="E36" s="66"/>
      <c r="F36" s="66"/>
      <c r="G36" s="66"/>
      <c r="H36" s="66"/>
    </row>
    <row r="38" spans="1:8">
      <c r="A38" s="21" t="s">
        <v>569</v>
      </c>
    </row>
    <row r="39" spans="1:8" ht="104.25" customHeight="1">
      <c r="A39" s="66" t="s">
        <v>576</v>
      </c>
      <c r="B39" s="66"/>
      <c r="C39" s="66"/>
      <c r="D39" s="66"/>
      <c r="E39" s="66"/>
      <c r="F39" s="66"/>
      <c r="G39" s="66"/>
      <c r="H39" s="66"/>
    </row>
    <row r="41" spans="1:8">
      <c r="A41" s="21" t="s">
        <v>570</v>
      </c>
    </row>
    <row r="42" spans="1:8" ht="105" customHeight="1">
      <c r="A42" s="66" t="s">
        <v>577</v>
      </c>
      <c r="B42" s="66"/>
      <c r="C42" s="66"/>
      <c r="D42" s="66"/>
      <c r="E42" s="66"/>
      <c r="F42" s="66"/>
      <c r="G42" s="66"/>
      <c r="H42" s="66"/>
    </row>
  </sheetData>
  <mergeCells count="3">
    <mergeCell ref="A36:H36"/>
    <mergeCell ref="A39:H39"/>
    <mergeCell ref="A42:H42"/>
  </mergeCells>
  <phoneticPr fontId="5"/>
  <printOptions horizontalCentered="1" verticalCentered="1"/>
  <pageMargins left="0.25" right="0.25" top="0.75" bottom="0.75" header="0.3" footer="0.3"/>
  <pageSetup paperSize="9" scale="66"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 id="{81BD0482-F97D-49F4-8A35-1661A4C1C2EE}">
            <x14:iconSet iconSet="3Stars" showValue="0">
              <x14:cfvo type="percent">
                <xm:f>0</xm:f>
              </x14:cfvo>
              <x14:cfvo type="num">
                <xm:f>0.01</xm:f>
              </x14:cfvo>
              <x14:cfvo type="num">
                <xm:f>1</xm:f>
              </x14:cfvo>
            </x14:iconSet>
          </x14:cfRule>
          <xm:sqref>F4:J4</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1086b6eb-ec4c-4e96-80ac-9644c7b48cf1" xsi:nil="true"/>
    <lcf76f155ced4ddcb4097134ff3c332f xmlns="027ac366-343f-4a6d-bb03-6b91893be8ac">
      <Terms xmlns="http://schemas.microsoft.com/office/infopath/2007/PartnerControls"/>
    </lcf76f155ced4ddcb4097134ff3c332f>
    <_x30e6__x30fc__x30b6__x30fc_ xmlns="027ac366-343f-4a6d-bb03-6b91893be8ac">
      <UserInfo>
        <DisplayName/>
        <AccountId xsi:nil="true"/>
        <AccountType/>
      </UserInfo>
    </_x30e6__x30fc__x30b6__x30fc_>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B1B2C34A4624A489402C03DEA2DA3DE" ma:contentTypeVersion="20" ma:contentTypeDescription="Create a new document." ma:contentTypeScope="" ma:versionID="becdedac2a965a43869b5d0fa78cb82d">
  <xsd:schema xmlns:xsd="http://www.w3.org/2001/XMLSchema" xmlns:xs="http://www.w3.org/2001/XMLSchema" xmlns:p="http://schemas.microsoft.com/office/2006/metadata/properties" xmlns:ns2="1086b6eb-ec4c-4e96-80ac-9644c7b48cf1" xmlns:ns3="027ac366-343f-4a6d-bb03-6b91893be8ac" targetNamespace="http://schemas.microsoft.com/office/2006/metadata/properties" ma:root="true" ma:fieldsID="21d6d3b7ad5d39c6e4988dd10307069f" ns2:_="" ns3:_="">
    <xsd:import namespace="1086b6eb-ec4c-4e96-80ac-9644c7b48cf1"/>
    <xsd:import namespace="027ac366-343f-4a6d-bb03-6b91893be8ac"/>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Location" minOccurs="0"/>
                <xsd:element ref="ns3:MediaServiceSearchProperties" minOccurs="0"/>
                <xsd:element ref="ns3:MediaServiceBillingMetadata" minOccurs="0"/>
                <xsd:element ref="ns3:_x30e6__x30fc__x30b6__x30fc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86b6eb-ec4c-4e96-80ac-9644c7b48cf1"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f1d05378-eb9c-4b9b-a09b-6d921b1681fc}" ma:internalName="TaxCatchAll" ma:showField="CatchAllData" ma:web="1086b6eb-ec4c-4e96-80ac-9644c7b48cf1">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27ac366-343f-4a6d-bb03-6b91893be8ac"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2d0fadb4-d8a4-4062-8ab0-7c275ee1eccf"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element name="_x30e6__x30fc__x30b6__x30fc_" ma:index="24" nillable="true" ma:displayName="ユーザー" ma:format="Dropdown" ma:list="UserInfo" ma:SharePointGroup="0" ma:internalName="_x30e6__x30fc__x30b6__x30fc_"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261F4F6-F764-49FC-9F1E-C31AC93AD005}">
  <ds:schemaRefs>
    <ds:schemaRef ds:uri="http://schemas.microsoft.com/sharepoint/v3/contenttype/forms"/>
  </ds:schemaRefs>
</ds:datastoreItem>
</file>

<file path=customXml/itemProps2.xml><?xml version="1.0" encoding="utf-8"?>
<ds:datastoreItem xmlns:ds="http://schemas.openxmlformats.org/officeDocument/2006/customXml" ds:itemID="{C4AEA180-5034-4ADD-9ECD-8454EFE77B34}">
  <ds:schemaRefs>
    <ds:schemaRef ds:uri="027ac366-343f-4a6d-bb03-6b91893be8ac"/>
    <ds:schemaRef ds:uri="http://schemas.microsoft.com/office/2006/documentManagement/types"/>
    <ds:schemaRef ds:uri="http://purl.org/dc/elements/1.1/"/>
    <ds:schemaRef ds:uri="http://schemas.microsoft.com/office/infopath/2007/PartnerControls"/>
    <ds:schemaRef ds:uri="http://purl.org/dc/terms/"/>
    <ds:schemaRef ds:uri="http://schemas.microsoft.com/office/2006/metadata/properties"/>
    <ds:schemaRef ds:uri="http://schemas.openxmlformats.org/package/2006/metadata/core-properties"/>
    <ds:schemaRef ds:uri="1086b6eb-ec4c-4e96-80ac-9644c7b48cf1"/>
    <ds:schemaRef ds:uri="http://www.w3.org/XML/1998/namespace"/>
    <ds:schemaRef ds:uri="http://purl.org/dc/dcmitype/"/>
  </ds:schemaRefs>
</ds:datastoreItem>
</file>

<file path=customXml/itemProps3.xml><?xml version="1.0" encoding="utf-8"?>
<ds:datastoreItem xmlns:ds="http://schemas.openxmlformats.org/officeDocument/2006/customXml" ds:itemID="{55315A28-841C-47AF-B2C8-B5BF5A01AE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86b6eb-ec4c-4e96-80ac-9644c7b48cf1"/>
    <ds:schemaRef ds:uri="027ac366-343f-4a6d-bb03-6b91893be8a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取得データ </vt:lpstr>
      <vt:lpstr>配点</vt:lpstr>
      <vt:lpstr>総合得点</vt:lpstr>
      <vt:lpstr>5点評価</vt:lpstr>
      <vt:lpstr>aaa</vt:lpstr>
      <vt:lpstr>bbb</vt:lpstr>
      <vt:lpstr>ccc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Satellite</dc:creator>
  <cp:keywords/>
  <dc:description/>
  <cp:lastModifiedBy>Lucky James</cp:lastModifiedBy>
  <cp:revision/>
  <dcterms:created xsi:type="dcterms:W3CDTF">2024-11-19T01:00:23Z</dcterms:created>
  <dcterms:modified xsi:type="dcterms:W3CDTF">2025-11-14T11:33:45Z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0x0101008B1B2C34A4624A489402C03DEA2DA3DE</vt:lpwstr>
  </property>
  <property fmtid="{D5CDD505-2E9C-101B-9397-08002B2CF9AE}" pid="3" name="MediaServiceImageTags">
    <vt:lpwstr/>
  </property>
</Properties>
</file>