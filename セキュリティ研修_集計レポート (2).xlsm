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7945" windowHeight="12375" activeTab="2"/>
  </bookViews>
  <sheets>
    <sheet name="取得データ" sheetId="48" r:id="rId1"/>
    <sheet name="配点" sheetId="47" r:id="rId2"/>
    <sheet name="総合得点" sheetId="17" r:id="rId3"/>
    <sheet name="5点評価" sheetId="4" r:id="rId4"/>
    <sheet name="aaa" sheetId="102" r:id="rId5"/>
    <sheet name="bbb" sheetId="103" r:id="rId6"/>
    <sheet name="ccc" sheetId="104"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<sst xmlns="http://schemas.openxmlformats.org/spreadsheetml/2006/main" count="692" uniqueCount="391">
  <si>
    <t>ID</t>
  </si>
  <si>
    <t>開始時刻</t>
  </si>
  <si>
    <t>完了時刻</t>
  </si>
  <si>
    <t>メール</t>
  </si>
  <si>
    <t>名前</t>
  </si>
  <si>
    <t>合計点数</t>
  </si>
  <si>
    <t>クイズのフィードバック</t>
  </si>
  <si>
    <t>最終変更時刻</t>
  </si>
  <si>
    <t>部署名</t>
  </si>
  <si>
    <t>点数 - 部署名</t>
  </si>
  <si>
    <t>フィードバック - 部署名</t>
  </si>
  <si>
    <t>氏名</t>
  </si>
  <si>
    <t>メールアドレス</t>
  </si>
  <si>
    <t>点数 - メールアドレス</t>
  </si>
  <si>
    <t>フィードバック - メールアドレス</t>
  </si>
  <si>
    <t>多くの ID／パスワードを扱う環境で最初に実装すべき運用はどれか。</t>
  </si>
  <si>
    <t>点数 - 多くの ID／パスワードを扱う環境で最初に実装すべき運用はどれか。</t>
  </si>
  <si>
    <t>フィードバック - 多くの ID／パスワードを扱う環境で最初に実装すべき運用はどれか。</t>
  </si>
  <si>
    <t>パスワードポリシーに「長さ優先」＋「文章型パスフレーズ推奨」を同時に採用する主なメリットはどれか。</t>
  </si>
  <si>
    <t>点数 - パスワードポリシーに「長さ優先」＋「文章型パスフレーズ推奨」を同時に採用する主なメリットはどれか。</t>
  </si>
  <si>
    <t>フィードバック - パスワードポリシーに「長さ優先」＋「文章型パスフレーズ推奨」を同時に採用する主なメリットはどれか。</t>
  </si>
  <si>
    <t>パスワードマネージャーの導入後も残る重要なリスクとして、特に考慮すべきものはどれか。</t>
  </si>
  <si>
    <t>点数 - パスワードマネージャーの導入後も残る重要なリスクとして、特に考慮すべきものはどれか。</t>
  </si>
  <si>
    <t>フィードバック - パスワードマネージャーの導入後も残る重要なリスクとして、特に考慮すべきものはどれか。</t>
  </si>
  <si>
    <t>パスワードについて、定期的な変更の強制を廃止し、イベントベース更新へ移行する際に必要となる仕組みはどれか。</t>
  </si>
  <si>
    <t>点数 - パスワードについて、定期的な変更の強制を廃止し、イベントベース更新へ移行する際に必要となる仕組みはどれか。</t>
  </si>
  <si>
    <t>フィードバック - パスワードについて、定期的な変更の強制を廃止し、イベントベース更新へ移行する際に必要となる仕組みはどれか。</t>
  </si>
  <si>
    <t>「社内での不適切なパスワード管理」を根本的に減らすための施策はどれか。</t>
  </si>
  <si>
    <t>フィードバック - 「社内での不適切なパスワード管理」を根本的に減らすための施策はどれか。</t>
  </si>
  <si>
    <t>点数 - 「社内での不適切なパスワード管理」を根本的に減らすための施策はどれか。</t>
  </si>
  <si>
    <t>知識要素と所有要素で構成される多要素認証（MFA）の組み合わせとして適切なものはどれか。</t>
  </si>
  <si>
    <t>フィードバック - 知識要素と所有要素で構成される多要素認証（MFA）の組み合わせとして適切なものはどれか。</t>
  </si>
  <si>
    <t>点数 - 知識要素と所有要素で構成される多要素認証（MFA）の組み合わせとして適切なものはどれか。</t>
  </si>
  <si>
    <t>シングルサインオン（SSO）導入後にフィッシング被害が拡大しやすくなるケースはどれか。</t>
  </si>
  <si>
    <t>フィードバック - シングルサインオン（SSO）導入後にフィッシング被害が拡大しやすくなるケースはどれか。</t>
  </si>
  <si>
    <t>点数 - シングルサインオン（SSO）導入後にフィッシング被害が拡大しやすくなるケースはどれか。</t>
  </si>
  <si>
    <t>Passkeyの「端末間シームレス利用」を成立させる前提として正しいものはどれか。</t>
  </si>
  <si>
    <t>フィードバック - Passkeyの「端末間シームレス利用」を成立させる前提として正しいものはどれか。</t>
  </si>
  <si>
    <t>点数 - Passkeyの「端末間シームレス利用」を成立させる前提として正しいものはどれか。</t>
  </si>
  <si>
    <t>文章型パスフレーズを採用する場合に追加で策定すべきガイドラインはどれか。</t>
  </si>
  <si>
    <t>フィードバック - 文章型パスフレーズを採用する場合に追加で策定すべきガイドラインはどれか。</t>
  </si>
  <si>
    <t>点数 - 文章型パスフレーズを採用する場合に追加で策定すべきガイドラインはどれか。</t>
  </si>
  <si>
    <t>パスワードレス化を進める際に最初に行うべき準備として最も適切なものはどれか。</t>
  </si>
  <si>
    <t>フィードバック - パスワードレス化を進める際に最初に行うべき準備として最も適切なものはどれか。</t>
  </si>
  <si>
    <t>点数 - パスワードレス化を進める際に最初に行うべき準備として最も適切なものはどれか。</t>
  </si>
  <si>
    <t>パスワードレス化によりエンドユーザーが最も早く実感しやすい利便性はどれか。</t>
  </si>
  <si>
    <t>フィードバック - パスワードレス化によりエンドユーザーが最も早く実感しやすい利便性はどれか。</t>
  </si>
  <si>
    <t>点数 - パスワードレス化によりエンドユーザーが最も早く実感しやすい利便性はどれか。</t>
  </si>
  <si>
    <t>MFA・SSO・Passkeyなどの認証方法を導入した後も依然として残りうる攻撃手法は次のうちどれか。</t>
  </si>
  <si>
    <t>フィードバック - MFA・SSO・Passkeyなどの認証方法を導入した後も依然として残りうる攻撃手法は次のうちどれか。</t>
  </si>
  <si>
    <t>点数 - MFA・SSO・Passkeyなどの認証方法を導入した後も依然として残りうる攻撃手法は次のうちどれか。</t>
  </si>
  <si>
    <t>認証の主な目的として最も適切なものはどれか。</t>
  </si>
  <si>
    <t>フィードバック - 認証の主な目的として最も適切なものはどれか。</t>
  </si>
  <si>
    <t>点数 - 認証の主な目的として最も適切なものはどれか。</t>
  </si>
  <si>
    <t>認証と認可を設計段階で分離して扱うべき主な理由はどれか。</t>
  </si>
  <si>
    <t>フィードバック - 認証と認可を設計段階で分離して扱うべき主な理由はどれか。</t>
  </si>
  <si>
    <t>点数 - 認証と認可を設計段階で分離して扱うべき主な理由はどれか。</t>
  </si>
  <si>
    <t>最小権限の原則を適用した認可設計において、権限過多によるセキュリティリスクを最も効果的に検知する方法はどれか。</t>
  </si>
  <si>
    <t>フィードバック - 最小権限の原則を適用した認可設計において、権限過多によるセキュリティリスクを最も効果的に検知する方法はどれか。</t>
  </si>
  <si>
    <t>点数 - 最小権限の原則を適用した認可設計において、権限過多によるセキュリティリスクを最も効果的に検知する方法はどれか。</t>
  </si>
  <si>
    <t>認証設計の観点から、「最小権限の原則」の形骸化を防ぐ方法として適切なものはどれか。</t>
  </si>
  <si>
    <t>フィードバック - 認証設計の観点から、「最小権限の原則」の形骸化を防ぐ方法として適切なものはどれか。</t>
  </si>
  <si>
    <t>点数 - 認証設計の観点から、「最小権限の原則」の形骸化を防ぐ方法として適切なものはどれか。</t>
  </si>
  <si>
    <t>認証設計において、プロトコル選定時に最も重要となる観点はどれか。</t>
  </si>
  <si>
    <t>フィードバック - 認証設計において、プロトコル選定時に最も重要となる観点はどれか。</t>
  </si>
  <si>
    <t>点数 - 認証設計において、プロトコル選定時に最も重要となる観点はどれか。</t>
  </si>
  <si>
    <t>認証情報を安全に扱うための設計として、最も適切なものはどれか。</t>
  </si>
  <si>
    <t>フィードバック - 認証情報を安全に扱うための設計として、最も適切なものはどれか。</t>
  </si>
  <si>
    <t>点数 - 認証情報を安全に扱うための設計として、最も適切なものはどれか。</t>
  </si>
  <si>
    <t>認証情報の取り扱いに関するベストプラクティスとして最も適切なのはどれか。</t>
  </si>
  <si>
    <t>フィードバック - 認証情報の取り扱いに関するベストプラクティスとして最も適切なのはどれか。</t>
  </si>
  <si>
    <t>点数 - 認証情報の取り扱いに関するベストプラクティスとして最も適切なのはどれか。</t>
  </si>
  <si>
    <t>認証設計において「UI・UX」とのバランスが課題となるのはどのような状況か。</t>
  </si>
  <si>
    <t>点数 - 認証設計において「UI・UX」とのバランスが課題となるのはどのような状況か。</t>
  </si>
  <si>
    <t>フィードバック - 認証設計において「UI・UX」とのバランスが課題となるのはどのような状況か。</t>
  </si>
  <si>
    <t>認証に関連する設計全体で意識すべき方針として、最も適切なものはどれか。</t>
  </si>
  <si>
    <t>点数 - 認証に関連する設計全体で意識すべき方針として、最も適切なものはどれか。</t>
  </si>
  <si>
    <t>フィードバック - 認証に関連する設計全体で意識すべき方針として、最も適切なものはどれか。</t>
  </si>
  <si>
    <t>ユーザーの状況に応じて認証の強度を自動的に変える仕組みが最も効果的なケースはどれか。</t>
  </si>
  <si>
    <t>点数 - ユーザーの状況に応じて認証の強度を自動的に変える仕組みが最も効果的なケースはどれか。</t>
  </si>
  <si>
    <t>フィードバック - ユーザーの状況に応じて認証の強度を自動的に変える仕組みが最も効果的なケースはどれか。</t>
  </si>
  <si>
    <t>認証関連ログの活用において、ログ設計で最も重要な視点はどれか。</t>
  </si>
  <si>
    <t>点数 - 認証関連ログの活用において、ログ設計で最も重要な視点はどれか。</t>
  </si>
  <si>
    <t>フィードバック - 認証関連ログの活用において、ログ設計で最も重要な視点はどれか。</t>
  </si>
  <si>
    <t>認証関連のログを運用で活用する際、重要な取り組みはどれか。</t>
  </si>
  <si>
    <t>点数 - 認証関連のログを運用で活用する際、重要な取り組みはどれか。</t>
  </si>
  <si>
    <t>フィードバック - 認証関連のログを運用で活用する際、重要な取り組みはどれか。</t>
  </si>
  <si>
    <t> テレワーク環境において、従来のオフィス勤務と比較して最も注意すべきセキュリティリスクはどれか。</t>
  </si>
  <si>
    <t>フィードバック -  テレワーク環境において、従来のオフィス勤務と比較して最も注意すべきセキュリティリスクはどれか。</t>
  </si>
  <si>
    <t>点数 -  テレワーク環境において、従来のオフィス勤務と比較して最も注意すべきセキュリティリスクはどれか。</t>
  </si>
  <si>
    <t>テレワーク環境でクラウドサービスやコラボレーションツールの利用が拡大することに伴い、IT部門にとっての課題として最も適切なのはどれか。</t>
  </si>
  <si>
    <t>フィードバック - テレワーク環境でクラウドサービスやコラボレーションツールの利用が拡大することに伴い、IT部門にとっての課題として最も適切なのはどれか。</t>
  </si>
  <si>
    <t>点数 - テレワーク環境でクラウドサービスやコラボレーションツールの利用が拡大することに伴い、IT部門にとっての課題として最も適切なのはどれか。</t>
  </si>
  <si>
    <t>テレワーク環境での情報漏えい対策として、最も適切なものはどれか。</t>
  </si>
  <si>
    <t>フィードバック - テレワーク環境での情報漏えい対策として、最も適切なものはどれか。</t>
  </si>
  <si>
    <t>点数 - テレワーク環境での情報漏えい対策として、最も適切なものはどれか。</t>
  </si>
  <si>
    <t>テレワーク時の端末管理に関して、セキュリティリスクが特に高まるのはどのような状態か。</t>
  </si>
  <si>
    <t>フィードバック - テレワーク時の端末管理に関して、セキュリティリスクが特に高まるのはどのような状態か。</t>
  </si>
  <si>
    <t>点数 - テレワーク時の端末管理に関して、セキュリティリスクが特に高まるのはどのような状態か。</t>
  </si>
  <si>
    <t>テレワークでの情報漏えいリスクとして、「ユーザー操作のリスク」に該当するものはどれか。</t>
  </si>
  <si>
    <t>フィードバック - テレワークでの情報漏えいリスクとして、「ユーザー操作のリスク」に該当するものはどれか。</t>
  </si>
  <si>
    <t>点数 - テレワークでの情報漏えいリスクとして、「ユーザー操作のリスク」に該当するものはどれか。</t>
  </si>
  <si>
    <t>テレワーク環境を標的とした攻撃の特徴と、特に狙われやすいリスク要因として正しいものはどれか。</t>
  </si>
  <si>
    <t>フィードバック - テレワーク環境を標的とした攻撃の特徴と、特に狙われやすいリスク要因として正しいものはどれか。</t>
  </si>
  <si>
    <t>点数 - テレワーク環境を標的とした攻撃の特徴と、特に狙われやすいリスク要因として正しいものはどれか。</t>
  </si>
  <si>
    <t>在宅勤務環境におけるセキュリティ格差の原因として最も適切なものはどれか。</t>
  </si>
  <si>
    <t>フィードバック - 在宅勤務環境におけるセキュリティ格差の原因として最も適切なものはどれか。</t>
  </si>
  <si>
    <t>点数 - 在宅勤務環境におけるセキュリティ格差の原因として最も適切なものはどれか。</t>
  </si>
  <si>
    <t>テレワーク方式の選択において、「業務データを端末に残さない」ことを重視する場合に適切な方式はどれか。</t>
  </si>
  <si>
    <t>フィードバック - テレワーク方式の選択において、「業務データを端末に残さない」ことを重視する場合に適切な方式はどれか。</t>
  </si>
  <si>
    <t>点数 - テレワーク方式の選択において、「業務データを端末に残さない」ことを重視する場合に適切な方式はどれか。</t>
  </si>
  <si>
    <t>社内データを端末にダウンロードして作業を行うテレワーク方式における最大のリスクはどれか。</t>
  </si>
  <si>
    <t>フィードバック - 社内データを端末にダウンロードして作業を行うテレワーク方式における最大のリスクはどれか。</t>
  </si>
  <si>
    <t>点数 - 社内データを端末にダウンロードして作業を行うテレワーク方式における最大のリスクはどれか。</t>
  </si>
  <si>
    <t>VPNを利用した通信経路で暗号化されていない場合に懸念されるリスクはどれか。</t>
  </si>
  <si>
    <t>フィードバック - VPNを利用した通信経路で暗号化されていない場合に懸念されるリスクはどれか。</t>
  </si>
  <si>
    <t>点数 - VPNを利用した通信経路で暗号化されていない場合に懸念されるリスクはどれか。</t>
  </si>
  <si>
    <t>社外でテレワークを行う従業員に対して最低限実施すべき対策はどれか。</t>
  </si>
  <si>
    <t>フィードバック - 社外でテレワークを行う従業員に対して最低限実施すべき対策はどれか。</t>
  </si>
  <si>
    <t>点数 - 社外でテレワークを行う従業員に対して最低限実施すべき対策はどれか。</t>
  </si>
  <si>
    <t>自宅以外でのテレワーク環境における物理的なセキュリティ対策として適切なものはどれか。</t>
  </si>
  <si>
    <t>フィードバック - 自宅以外でのテレワーク環境における物理的なセキュリティ対策として適切なものはどれか。</t>
  </si>
  <si>
    <t>点数 - 自宅以外でのテレワーク環境における物理的なセキュリティ対策として適切なものはどれか。</t>
  </si>
  <si>
    <t>ゼロトラストという考え方が注目されるようになった背景として最も適切なのはどれか。</t>
  </si>
  <si>
    <t>フィードバック - ゼロトラストという考え方が注目されるようになった背景として最も適切なのはどれか。</t>
  </si>
  <si>
    <t>点数 - ゼロトラストという考え方が注目されるようになった背景として最も適切なのはどれか。</t>
  </si>
  <si>
    <t>従来型の「境界防御モデル」における根本的なセキュリティ上の課題はどれか。</t>
  </si>
  <si>
    <t>フィードバック - 従来型の「境界防御モデル」における根本的なセキュリティ上の課題はどれか。</t>
  </si>
  <si>
    <t>点数 - 従来型の「境界防御モデル」における根本的なセキュリティ上の課題はどれか。</t>
  </si>
  <si>
    <t>ゼロトラストと従来の境界防御との最も本質的な違いはどれか。</t>
  </si>
  <si>
    <t>フィードバック - ゼロトラストと従来の境界防御との最も本質的な違いはどれか。</t>
  </si>
  <si>
    <t>点数 - ゼロトラストと従来の境界防御との最も本質的な違いはどれか。</t>
  </si>
  <si>
    <t>ゼロトラストにおける設計指針として最も適切なものはどれか。</t>
  </si>
  <si>
    <t>フィードバック - ゼロトラストにおける設計指針として最も適切なものはどれか。</t>
  </si>
  <si>
    <t>点数 - ゼロトラストにおける設計指針として最も適切なものはどれか。</t>
  </si>
  <si>
    <t>サイバーハイジーン（衛生管理）という概念の主な目的はどれか。</t>
  </si>
  <si>
    <t>フィードバック - サイバーハイジーン（衛生管理）という概念の主な目的はどれか。</t>
  </si>
  <si>
    <t>点数 - サイバーハイジーン（衛生管理）という概念の主な目的はどれか。</t>
  </si>
  <si>
    <t>ゼロトラストにおける「動的ポリシー制御」の特徴として最も適切なのはどれか。</t>
  </si>
  <si>
    <t>フィードバック - ゼロトラストにおける「動的ポリシー制御」の特徴として最も適切なのはどれか。</t>
  </si>
  <si>
    <t>点数 - ゼロトラストにおける「動的ポリシー制御」の特徴として最も適切なのはどれか。</t>
  </si>
  <si>
    <t>アクセス権限を動的に見直すべきタイミングとして、最も適切なものはどれか。</t>
  </si>
  <si>
    <t>フィードバック - アクセス権限を動的に見直すべきタイミングとして、最も適切なものはどれか。</t>
  </si>
  <si>
    <t>点数 - アクセス権限を動的に見直すべきタイミングとして、最も適切なものはどれか。</t>
  </si>
  <si>
    <t>ゼロトラスト導入時に「ポリシーが肥大化する」ことで発生するリスクとして最も適切なのはどれか。</t>
  </si>
  <si>
    <t>フィードバック - ゼロトラスト導入時に「ポリシーが肥大化する」ことで発生するリスクとして最も適切なのはどれか。</t>
  </si>
  <si>
    <t>点数 - ゼロトラスト導入時に「ポリシーが肥大化する」ことで発生するリスクとして最も適切なのはどれか。</t>
  </si>
  <si>
    <t>ゼロトラストを導入する際の計画段階で、最初に実施すべきこととして適切なのはどれか。</t>
  </si>
  <si>
    <t>フィードバック - ゼロトラストを導入する際の計画段階で、最初に実施すべきこととして適切なのはどれか。</t>
  </si>
  <si>
    <t>点数 - ゼロトラストを導入する際の計画段階で、最初に実施すべきこととして適切なのはどれか。</t>
  </si>
  <si>
    <t>ゼロトラストを成功させるための進め方として、最も適切なのはどれか。</t>
  </si>
  <si>
    <t>フィードバック - ゼロトラストを成功させるための進め方として、最も適切なのはどれか。</t>
  </si>
  <si>
    <t>点数 - ゼロトラストを成功させるための進め方として、最も適切なのはどれか。</t>
  </si>
  <si>
    <t>ゼロトラストの考え方に沿ってセキュリティの設計方針を見直す際、適切な方向性はどれか。</t>
  </si>
  <si>
    <t>フィードバック - ゼロトラストの考え方に沿ってセキュリティの設計方針を見直す際、適切な方向性はどれか。</t>
  </si>
  <si>
    <t>点数 - ゼロトラストの考え方に沿ってセキュリティの設計方針を見直す際、適切な方向性はどれか。</t>
  </si>
  <si>
    <t>テレワークの拡大を契機にゼロトラストを導入した企業で得られた代表的な成果として、適切なのはどれか。</t>
  </si>
  <si>
    <t>フィードバック - テレワークの拡大を契機にゼロトラストを導入した企業で得られた代表的な成果として、適切なのはどれか。</t>
  </si>
  <si>
    <t>点数 - テレワークの拡大を契機にゼロトラストを導入した企業で得られた代表的な成果として、適切なのはどれか。</t>
  </si>
  <si>
    <t>クラウドサービスの利点として適切なものはどれか。</t>
  </si>
  <si>
    <t>フィードバック - クラウドサービスの利点として適切なものはどれか。</t>
  </si>
  <si>
    <t>点数 - クラウドサービスの利点として適切なものはどれか。</t>
  </si>
  <si>
    <t>クラウド利用時の責任共有モデルで「利用者側の責任」とされるものはどれか。</t>
  </si>
  <si>
    <t>フィードバック - クラウド利用時の責任共有モデルで「利用者側の責任」とされるものはどれか。</t>
  </si>
  <si>
    <t>点数 - クラウド利用時の責任共有モデルで「利用者側の責任」とされるものはどれか。</t>
  </si>
  <si>
    <t>SaaSに分類されるサービスの特徴として最も適切なのはどれか。</t>
  </si>
  <si>
    <t>フィードバック - SaaSに分類されるサービスの特徴として最も適切なのはどれか。</t>
  </si>
  <si>
    <t>点数 - SaaSに分類されるサービスの特徴として最も適切なのはどれか。</t>
  </si>
  <si>
    <t>IaaSの導入を検討する場面として適切なのはどれか。</t>
  </si>
  <si>
    <t>フィードバック - IaaSの導入を検討する場面として適切なのはどれか。</t>
  </si>
  <si>
    <t>点数 - IaaSの導入を検討する場面として適切なのはどれか。</t>
  </si>
  <si>
    <t>クラウド利用におけるセキュリティリスクとして最も適切なのはどれか。</t>
  </si>
  <si>
    <t>フィードバック - クラウド利用におけるセキュリティリスクとして最も適切なのはどれか。</t>
  </si>
  <si>
    <t>点数 - クラウド利用におけるセキュリティリスクとして最も適切なのはどれか。</t>
  </si>
  <si>
    <t>クラウドストレージを業務で利用する際に、情報漏えいリスクの観点から最も注意すべき点はどれか。</t>
  </si>
  <si>
    <t>フィードバック - クラウドストレージを業務で利用する際に、情報漏えいリスクの観点から最も注意すべき点はどれか。</t>
  </si>
  <si>
    <t>点数 - クラウドストレージを業務で利用する際に、情報漏えいリスクの観点から最も注意すべき点はどれか。</t>
  </si>
  <si>
    <t>クラウドサービスを比較・選定する際に、特に重視すべき観点はどれか。</t>
  </si>
  <si>
    <t>フィードバック - クラウドサービスを比較・選定する際に、特に重視すべき観点はどれか。</t>
  </si>
  <si>
    <t>点数 - クラウドサービスを比較・選定する際に、特に重視すべき観点はどれか。</t>
  </si>
  <si>
    <t>クラウドサービス導入後の運用で、安定運用や改善のために重要な取り組みはどれか。</t>
  </si>
  <si>
    <t>フィードバック - クラウドサービス導入後の運用で、安定運用や改善のために重要な取り組みはどれか。</t>
  </si>
  <si>
    <t>点数 - クラウドサービス導入後の運用で、安定運用や改善のために重要な取り組みはどれか。</t>
  </si>
  <si>
    <t>シャドーITがリスクとされる理由として最も適切なものはどれか。</t>
  </si>
  <si>
    <t>フィードバック - シャドーITがリスクとされる理由として最も適切なものはどれか。</t>
  </si>
  <si>
    <t>点数 - シャドーITがリスクとされる理由として最も適切なものはどれか。</t>
  </si>
  <si>
    <t>クラウドサービス契約時に確認すべきSLA（サービスレベル合意）の項目として最も適切なものはどれか。</t>
  </si>
  <si>
    <t>フィードバック - クラウドサービス契約時に確認すべきSLA（サービスレベル合意）の項目として最も適切なものはどれか。</t>
  </si>
  <si>
    <t>点数 - クラウドサービス契約時に確認すべきSLA（サービスレベル合意）の項目として最も適切なものはどれか。</t>
  </si>
  <si>
    <t>クラウドにおけるデータ保存場所の取り扱いとして正しいものはどれか。</t>
  </si>
  <si>
    <t>フィードバック - クラウドにおけるデータ保存場所の取り扱いとして正しいものはどれか。</t>
  </si>
  <si>
    <t>点数 - クラウドにおけるデータ保存場所の取り扱いとして正しいものはどれか。</t>
  </si>
  <si>
    <t>CSPM（Cloud Security Posture Management）ツールの主な役割として最も適切なのはどれか。</t>
  </si>
  <si>
    <t>フィードバック - CSPM（Cloud Security Posture Management）ツールの主な役割として最も適切なのはどれか。</t>
  </si>
  <si>
    <t>点数 - CSPM（Cloud Security Posture Management）ツールの主な役割として最も適切なのはどれか。</t>
  </si>
  <si>
    <t>8/21/25 9:01:26</t>
  </si>
  <si>
    <t>8/21/25 9:23:30</t>
  </si>
  <si>
    <t>anonymous</t>
  </si>
  <si>
    <r>
      <rPr>
        <sz val="11"/>
        <color rgb="FF000000"/>
        <rFont val="ＭＳ Ｐゴシック"/>
        <charset val="128"/>
      </rPr>
      <t>山田</t>
    </r>
    <r>
      <rPr>
        <sz val="11"/>
        <color rgb="FF000000"/>
        <rFont val="Calibri"/>
        <charset val="134"/>
      </rPr>
      <t xml:space="preserve"> </t>
    </r>
    <r>
      <rPr>
        <sz val="11"/>
        <color rgb="FF000000"/>
        <rFont val="ＭＳ Ｐゴシック"/>
        <charset val="128"/>
      </rPr>
      <t>太郎</t>
    </r>
  </si>
  <si>
    <t>yamada.taro@example.com</t>
  </si>
  <si>
    <t>12文字以上への一斉延長</t>
  </si>
  <si>
    <t>総当たり・辞書攻撃の試行回数を指数的に増やす</t>
  </si>
  <si>
    <t>マスターパスワードの漏えい</t>
  </si>
  <si>
    <t>ハードトークン在庫確保</t>
  </si>
  <si>
    <t>パスワードの紙での管理を禁止する</t>
  </si>
  <si>
    <t>PIN＋認証アプリ</t>
  </si>
  <si>
    <t>ログインページのなりすまし</t>
  </si>
  <si>
    <t>公開鍵を安全にクラウド同期すること</t>
  </si>
  <si>
    <t>個人情報や社名など推測容易語を避けること</t>
  </si>
  <si>
    <t>各システムの認証方式や管理方法の棚卸し</t>
  </si>
  <si>
    <t>フィッシング対策とスムーズなログイン体験</t>
  </si>
  <si>
    <t>ソーシャルエンジニアリングによる認証回避</t>
  </si>
  <si>
    <t>ユーザーが本人であることを確認するための仕組み</t>
  </si>
  <si>
    <t>アクセスの可否と本人確認とで目的が異なるため、設計思想を分ける必要があるため</t>
  </si>
  <si>
    <t>業務に必要最小限の権限のみを付与し、未使用権限を定期監査する</t>
  </si>
  <si>
    <t>定期的な権限レビューと棚卸しを実施すること</t>
  </si>
  <si>
    <t>利用するシステム環境や認証要件に適した標準規格を選ぶこと</t>
  </si>
  <si>
    <t>認証情報の保存や送信には暗号化を徹底する</t>
  </si>
  <si>
    <t>保管時・送信時の暗号化を徹底し、アクセス制御を厳格に行う</t>
  </si>
  <si>
    <t>認証手段が複雑化し、ログイン操作が煩雑になった場合</t>
  </si>
  <si>
    <t>利便性とセキュリティのバランスを取りながら、要件に応じた適切な手段を設計すること</t>
  </si>
  <si>
    <t>普段とは異なる場所や端末からのアクセスが多く、不正利用のリスクが高い環境</t>
  </si>
  <si>
    <t>全てのリクエスト情報を保持すること</t>
  </si>
  <si>
    <t>不正アクセスや異常な認証行動を検知するためにログを定期的に分析する</t>
  </si>
  <si>
    <t>公衆Wi-Fiや家族共用端末の利用による情報漏洩リスク </t>
  </si>
  <si>
    <t>複数のクラウドサービス間での統一的なセキュリティルールと設定管理</t>
  </si>
  <si>
    <t>画面ロックやパスワードの設定を徹底し、外部からの覗き見や不正アクセスを防ぐ</t>
  </si>
  <si>
    <t>私物端末でOSやソフトの更新がされていない状態</t>
  </si>
  <si>
    <t>暗号化されていないフリーWi-Fiへの接続</t>
  </si>
  <si>
    <t>フリーWi-FiやVPN経由の侵入など自宅外通信経路が狙われやすい</t>
  </si>
  <si>
    <t>自宅ネットワーク機器の脆弱性</t>
  </si>
  <si>
    <t>クラウド直結型</t>
  </si>
  <si>
    <t>データ持ち出しによる情報漏えいのリスク</t>
  </si>
  <si>
    <t>第三者による盗聴や改ざん</t>
  </si>
  <si>
    <t>端末の暗号化とVPNの利用</t>
  </si>
  <si>
    <t>覗き見防止フィルターの活用</t>
  </si>
  <si>
    <t>社内ネットワーク内であれば全てのユーザーや端末を信頼できるという前提が崩れたため</t>
  </si>
  <si>
    <t>一度侵入されると内部で横移動が可能になる</t>
  </si>
  <si>
    <t>信頼の置き方</t>
  </si>
  <si>
    <t>すべての通信を保護する</t>
  </si>
  <si>
    <t>資産を脆弱性のない状態に保つ</t>
  </si>
  <si>
    <t>各アクセスごとにリスクを評価してポリシーを適用する</t>
  </si>
  <si>
    <t>エンドポイントの健康状態の変化</t>
  </si>
  <si>
    <t>設定ミスが増加し全体像が把握できなくなる</t>
  </si>
  <si>
    <t>ID／アカウントの棚卸し</t>
  </si>
  <si>
    <t>業務プロセスを丁寧に整理し段階的に導入する</t>
  </si>
  <si>
    <t>ネットワーク依存からID・端末・データ中心へ移る</t>
  </si>
  <si>
    <t>働く場所の制約がなくなりデータ持ち出し管理も強化された</t>
  </si>
  <si>
    <t>導入や拡張の柔軟性が高い</t>
  </si>
  <si>
    <t>データの保管とアクセス制御</t>
  </si>
  <si>
    <t>システム全体を仮想化する</t>
  </si>
  <si>
    <t>OSやネットワークを自社で管理したいとき</t>
  </si>
  <si>
    <t>設定ミスによる情報漏えい</t>
  </si>
  <si>
    <t>外部共有設定の管理</t>
  </si>
  <si>
    <t>セキュリティ機能やログの取得範囲</t>
  </si>
  <si>
    <t>利用状況のモニタリングと定期的な見直し</t>
  </si>
  <si>
    <t>セキュリティ統制が効かず、情報漏えいのリスクが高まる</t>
  </si>
  <si>
    <t>稼働率や復旧時間</t>
  </si>
  <si>
    <t>国や地域によって法規制が異なる</t>
  </si>
  <si>
    <t>設定ミスの検出とリスクの可視化</t>
  </si>
  <si>
    <t>8/21/25 9:11:33</t>
  </si>
  <si>
    <t>8/21/25 9:30:37</t>
  </si>
  <si>
    <r>
      <rPr>
        <sz val="11"/>
        <color rgb="FF000000"/>
        <rFont val="ＭＳ Ｐゴシック"/>
        <charset val="128"/>
      </rPr>
      <t>佐藤</t>
    </r>
    <r>
      <rPr>
        <sz val="11"/>
        <color rgb="FF000000"/>
        <rFont val="Calibri"/>
        <charset val="134"/>
      </rPr>
      <t xml:space="preserve"> </t>
    </r>
    <r>
      <rPr>
        <sz val="11"/>
        <color rgb="FF000000"/>
        <rFont val="ＭＳ Ｐゴシック"/>
        <charset val="128"/>
      </rPr>
      <t>花子</t>
    </r>
  </si>
  <si>
    <t>sato.hanako@example.com</t>
  </si>
  <si>
    <t>漏えいチェック連携による使い回し検知</t>
  </si>
  <si>
    <t>漏えい検知の即時トリガー</t>
  </si>
  <si>
    <t>スマートカード＋指紋</t>
  </si>
  <si>
    <t>SAML署名検証が無効化されている場合</t>
  </si>
  <si>
    <t>SMS認証を必須とすること</t>
  </si>
  <si>
    <t> AiTM攻撃によるリアルタイム認証情報の悪用</t>
  </si>
  <si>
    <t>管理画面が複雑になるのを防ぐため</t>
  </si>
  <si>
    <t>権限昇格操作をリアルタイム監視し、異常検知時に自動無効化する</t>
  </si>
  <si>
    <t> ログイン頻度と業務実績に応じて段階的に権限を拡大し利便性を向上させる</t>
  </si>
  <si>
    <t>ユーザーが意識しないレベルで透明性を保ちながら、常に多層的な認証を実装すること</t>
  </si>
  <si>
    <t>システムメンテナンスによる認証設定変更が頻繁に発生する環境</t>
  </si>
  <si>
    <t>アクション単位で必要な情報が記録されていること</t>
  </si>
  <si>
    <t>カフェや公共のWi-Fiを利用して業務データを送受信する</t>
  </si>
  <si>
    <t>メモリ仮想化型</t>
  </si>
  <si>
    <t>作業完了後のデータ削除が確実に行われないリスク</t>
  </si>
  <si>
    <t>アクセス制御のためのIPアドレスの指定方法</t>
  </si>
  <si>
    <t>ネットワーク帯域を削減する</t>
  </si>
  <si>
    <t>社内Wi‑FiのSSID変更</t>
  </si>
  <si>
    <t>不要ポリシーの統合・削除</t>
  </si>
  <si>
    <t>IPアドレスを社内帯域に限定する</t>
  </si>
  <si>
    <t>VPNを常時利用する運用に統一し、すべての通信をVPN経由とした</t>
  </si>
  <si>
    <t>どんなに使用しても料金が変わらなくなる</t>
  </si>
  <si>
    <t>ハードウェアの障害対応</t>
  </si>
  <si>
    <t>社内メンバーの編集権限漏れ</t>
  </si>
  <si>
    <t>利用ユーザー数の上限と超過時の課金方式</t>
  </si>
  <si>
    <t>保存場所の選定はクラウド利用者の責任であり、提供者は関与しない</t>
  </si>
  <si>
    <t>クラウドストレージのデータ自動暗号化</t>
  </si>
  <si>
    <t>8/21/25 9:14:50</t>
  </si>
  <si>
    <t>8/21/25 9:43:51</t>
  </si>
  <si>
    <r>
      <rPr>
        <sz val="11"/>
        <color rgb="FF000000"/>
        <rFont val="ＭＳ Ｐゴシック"/>
        <charset val="128"/>
      </rPr>
      <t>鈴木</t>
    </r>
    <r>
      <rPr>
        <sz val="11"/>
        <color rgb="FF000000"/>
        <rFont val="Calibri"/>
        <charset val="134"/>
      </rPr>
      <t xml:space="preserve"> </t>
    </r>
    <r>
      <rPr>
        <sz val="11"/>
        <color rgb="FF000000"/>
        <rFont val="ＭＳ Ｐゴシック"/>
        <charset val="128"/>
      </rPr>
      <t>一郎</t>
    </r>
  </si>
  <si>
    <t>suzuki.ichiro@example.com</t>
  </si>
  <si>
    <t>SSO外システムの色統一</t>
  </si>
  <si>
    <t>ユーザビリティ優先のツール活用と統制</t>
  </si>
  <si>
    <t>必ず4種の文字種を使用すること</t>
  </si>
  <si>
    <t>業務システム間のID連携自動化</t>
  </si>
  <si>
    <t>SQLインジェクションによるデータベース侵害</t>
  </si>
  <si>
    <t>信頼できるサードパーティのIDaaS事業者に認証基盤を完全委託する</t>
  </si>
  <si>
    <t>複数の管理者が権限を分担して認証システムを運用している環境</t>
  </si>
  <si>
    <t>社内接続型</t>
  </si>
  <si>
    <t>境界内の通信は保護不要とする</t>
  </si>
  <si>
    <t>ユーザーはソフトをインストールせずに利用できる</t>
  </si>
  <si>
    <t>表計算ツールだけ使いたいとき</t>
  </si>
  <si>
    <t>セクション</t>
  </si>
  <si>
    <t>設問</t>
  </si>
  <si>
    <t>問題番号</t>
  </si>
  <si>
    <t>配点</t>
  </si>
  <si>
    <t>合計</t>
  </si>
  <si>
    <t>パスワード管理</t>
  </si>
  <si>
    <t>認証設計</t>
  </si>
  <si>
    <t>テレワーク</t>
  </si>
  <si>
    <t>テレワーク環境において、従来のオフィス勤務と比較して最も注意すべきセキュリティリスクはどれか。</t>
  </si>
  <si>
    <t>ゼロトラスト</t>
  </si>
  <si>
    <t>クラウドサービス</t>
  </si>
  <si>
    <t>総合得点（60点満点）</t>
  </si>
  <si>
    <t>松原史昂</t>
  </si>
  <si>
    <t>幸坂京子</t>
  </si>
  <si>
    <t>丸野裕之</t>
  </si>
  <si>
    <t>長尾駿</t>
  </si>
  <si>
    <t>藤井友人</t>
  </si>
  <si>
    <t>大西恒生</t>
  </si>
  <si>
    <t>梶山大介</t>
  </si>
  <si>
    <t>福田総平</t>
  </si>
  <si>
    <t>藤井道拡</t>
  </si>
  <si>
    <t>枡井直子</t>
  </si>
  <si>
    <t>高田恵</t>
  </si>
  <si>
    <t>斉藤清</t>
  </si>
  <si>
    <t>東川聖宏</t>
  </si>
  <si>
    <t>高登康之</t>
  </si>
  <si>
    <t>大雲信幸</t>
  </si>
  <si>
    <t>由良拓巳</t>
  </si>
  <si>
    <t>寅丸英美</t>
  </si>
  <si>
    <t>原本侑季</t>
  </si>
  <si>
    <t>森田尚子</t>
  </si>
  <si>
    <t>三浦幸夫</t>
  </si>
  <si>
    <t>寺川慎也</t>
  </si>
  <si>
    <t>王娜</t>
  </si>
  <si>
    <t>松浦芳行</t>
  </si>
  <si>
    <t>出本真由美</t>
  </si>
  <si>
    <t>岩見陽一</t>
  </si>
  <si>
    <t>瀬田元気</t>
  </si>
  <si>
    <t>由本健一朗</t>
  </si>
  <si>
    <t>伊藤隼一</t>
  </si>
  <si>
    <t>山野祐嗣</t>
  </si>
  <si>
    <t>河部真美子</t>
  </si>
  <si>
    <t>矢可部雅彦</t>
  </si>
  <si>
    <t>兼本勝利</t>
  </si>
  <si>
    <t>坂本昭</t>
  </si>
  <si>
    <t>山口賢悟</t>
  </si>
  <si>
    <t>古山真也</t>
  </si>
  <si>
    <t>中島令生那</t>
  </si>
  <si>
    <t>須村元昭</t>
  </si>
  <si>
    <t>濱本美沙</t>
  </si>
  <si>
    <t>坂本啓行</t>
  </si>
  <si>
    <t>田川圭佑</t>
  </si>
  <si>
    <t>中間小百合</t>
  </si>
  <si>
    <t>近藤孝之</t>
  </si>
  <si>
    <t>武永基裕</t>
  </si>
  <si>
    <t>空田康博</t>
  </si>
  <si>
    <t>中井昌治</t>
  </si>
  <si>
    <t>伊達義典</t>
  </si>
  <si>
    <t>小柳優</t>
  </si>
  <si>
    <t>谷千帆里</t>
  </si>
  <si>
    <t>青山悠</t>
  </si>
  <si>
    <t>福田翔</t>
  </si>
  <si>
    <t>西村知也</t>
  </si>
  <si>
    <t>青柳幸司</t>
  </si>
  <si>
    <t>武井淳二</t>
  </si>
  <si>
    <t>平均</t>
  </si>
  <si>
    <t>総合得点</t>
  </si>
  <si>
    <t>■総合評価</t>
  </si>
  <si>
    <t>総合点</t>
  </si>
  <si>
    <t>■ポテンシャルグラフ</t>
  </si>
  <si>
    <t>■スキルカテゴリごとの点数</t>
  </si>
  <si>
    <t>要素</t>
  </si>
  <si>
    <t>社内平均</t>
  </si>
  <si>
    <t>今回の得点</t>
  </si>
  <si>
    <t>■コメント</t>
  </si>
  <si>
    <t>総合的なコメント</t>
  </si>
  <si>
    <t>強みのコメント</t>
  </si>
  <si>
    <t>改善点のコメント</t>
  </si>
  <si>
    <t>aa</t>
  </si>
  <si>
    <t>今回のアセスメントでは全体として平均を下回る結果となり、理解が部分的に偏っている様子が見受けられました。特に認証設計やクラウドサービスの分野では低めの得点となっており、基礎的な仕組みや考え方を整理する必要があります。一方で、パスワード管理やテレワークではある程度の得点を確保しており、既に理解が進んでいる領域も確認できました。今後は弱点となっている分野を補強することで、全体的なバランスが改善されることが期待されます。</t>
  </si>
  <si>
    <t>パスワード管理については社内平均を上回る結果を示しており、基本的な考え方や運用面に関する理解が進んでいる点が強みといえます。また、テレワークの分野でも一定の得点を記録しており、リモート環境で必要とされるセキュリティの視点を意識できていることがうかがえます。これらの領域は引き続き安定して活用できる力として伸ばしていけるでしょう。</t>
  </si>
  <si>
    <t>認証設計とクラウドサービスに関しては平均を大きく下回っており、理解の不足が目立ちました。特に認証における設計思想やクラウド利用時のリスク認識については、今後重点的に補強する必要があります。またゼロトラストについても十分に得点を伸ばしきれていないため、基本的な考え方を改めて整理することが望まれます。これらを意識的に学習することで、既に得点できている領域とのバランスが整い、全体的な理解度が向上するでしょう。</t>
  </si>
  <si>
    <t>今回のアセスメントでは総合的に高い得点を記録し、各分野でバランスの取れた理解度を示しました。特にテレワークでは平均を大きく上回り、実務に近い環境でのセキュリティ課題を的確に捉えられていることがわかります。また、ゼロトラストやクラウドサービスでも安定した結果を収めており、新しいセキュリティの考え方に対しても十分に対応できています。一方で、パスワード管理の分野は他と比べてやや控えめの得点にとどまっており、基本的な運用の整理が今後の課題といえます。</t>
  </si>
  <si>
    <t>テレワークにおいては 4.58 点と非常に高い得点を獲得し、リモート環境におけるリスクや対策を正しく理解できていることが示されています。さらに、ゼロトラストやクラウドサービスでも平均を大きく上回っており、現代のセキュリティトレンドに即した幅広い知識が備わっています。認証設計も平均を超えており、全体的に安定感のある理解度が確認できました。</t>
  </si>
  <si>
    <t>パスワード管理については 2.92 点と、他の分野に比べると得点が低めの結果となりました。パスワード運用に関する基本的な知識は押さえられていますが、最新の考え方や利便性とのバランスを整理する余地があります。基礎を補強することで、既に高得点を収めている他の領域との整合性がさらに高まり、知識の一貫性が強化されるでしょう。</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</si>
</sst>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2" formatCode="_(&quot;$&quot;* #,##0_);_(&quot;$&quot;* \(#,##0\);_(&quot;$&quot;* &quot;-&quot;_);_(@_)"/>
    <numFmt numFmtId="44" formatCode="_(&quot;$&quot;* #,##0.00_);_(&quot;$&quot;* \(#,##0.00\);_(&quot;$&quot;* &quot;-&quot;??_);_(@_)"/>
    <numFmt numFmtId="176" formatCode="_ * #,##0.00_ ;_ * \-#,##0.00_ ;_ * &quot;-&quot;??_ ;_ @_ "/>
    <numFmt numFmtId="177" formatCode="_ * #,##0_ ;_ * \-#,##0_ ;_ * &quot;-&quot;_ ;_ @_ "/>
  </numFmts>
  <fonts count="29">
    <font>
      <sz val="11"/>
      <color theme="1"/>
      <name val="宋体"/>
      <charset val="134"/>
      <scheme val="minor"/>
    </font>
    <font>
      <sz val="11"/>
      <color theme="1"/>
      <name val="宋体"/>
      <charset val="128"/>
      <scheme val="minor"/>
    </font>
    <font>
      <b/>
      <sz val="11"/>
      <color theme="1"/>
      <name val="宋体"/>
      <charset val="128"/>
      <scheme val="minor"/>
    </font>
    <font>
      <b/>
      <sz val="11"/>
      <color rgb="FF000000"/>
      <name val="宋体"/>
      <charset val="128"/>
      <scheme val="minor"/>
    </font>
    <font>
      <sz val="11"/>
      <color rgb="FF000000"/>
      <name val="宋体"/>
      <charset val="128"/>
      <scheme val="minor"/>
    </font>
    <font>
      <sz val="11"/>
      <color rgb="FF000000"/>
      <name val="ＭＳ ゴシック"/>
      <charset val="128"/>
    </font>
    <font>
      <sz val="11"/>
      <color rgb="FF000000"/>
      <name val="Calibri"/>
      <charset val="134"/>
    </font>
    <font>
      <b/>
      <sz val="11"/>
      <color theme="1"/>
      <name val="宋体"/>
      <charset val="134"/>
      <scheme val="minor"/>
    </font>
    <font>
      <b/>
      <sz val="11"/>
      <color rgb="FFFFFFFF"/>
      <name val="Calibri"/>
      <charset val="134"/>
    </font>
    <font>
      <sz val="11"/>
      <color rgb="FF000000"/>
      <name val="ＭＳ Ｐゴシック"/>
      <charset val="128"/>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42">
    <fill>
      <patternFill patternType="none"/>
    </fill>
    <fill>
      <patternFill patternType="gray125"/>
    </fill>
    <fill>
      <patternFill patternType="solid">
        <fgColor rgb="FFD9E1F2"/>
        <bgColor rgb="FF000000"/>
      </patternFill>
    </fill>
    <fill>
      <patternFill patternType="solid">
        <fgColor rgb="FFDDEBF7"/>
        <bgColor rgb="FF000000"/>
      </patternFill>
    </fill>
    <fill>
      <patternFill patternType="solid">
        <fgColor rgb="FFFCE4D6"/>
        <bgColor rgb="FF000000"/>
      </patternFill>
    </fill>
    <fill>
      <patternFill patternType="solid">
        <fgColor rgb="FFE2EFDA"/>
        <bgColor rgb="FF000000"/>
      </patternFill>
    </fill>
    <fill>
      <patternFill patternType="solid">
        <fgColor rgb="FFD6DCE4"/>
        <bgColor rgb="FF000000"/>
      </patternFill>
    </fill>
    <fill>
      <patternFill patternType="solid">
        <fgColor rgb="FFFFF2CC"/>
        <bgColor rgb="FF000000"/>
      </patternFill>
    </fill>
    <fill>
      <patternFill patternType="solid">
        <fgColor theme="2" tint="-0.249977111117893"/>
        <bgColor indexed="64"/>
      </patternFill>
    </fill>
    <fill>
      <patternFill patternType="solid">
        <fgColor theme="5" tint="0.399975585192419"/>
        <bgColor indexed="64"/>
      </patternFill>
    </fill>
    <fill>
      <patternFill patternType="solid">
        <fgColor rgb="FFD0CECE"/>
        <bgColor rgb="FF000000"/>
      </patternFill>
    </fill>
    <fill>
      <patternFill patternType="solid">
        <fgColor theme="2" tint="-0.0999786370433668"/>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7">
    <border>
      <left/>
      <right/>
      <top/>
      <bottom/>
      <diagonal/>
    </border>
    <border>
      <left style="thin">
        <color rgb="FF000000"/>
      </left>
      <right/>
      <top style="thin">
        <color rgb="FF000000"/>
      </top>
      <bottom/>
      <diagonal/>
    </border>
    <border>
      <left style="thin">
        <color auto="1"/>
      </left>
      <right/>
      <top style="thin">
        <color rgb="FF000000"/>
      </top>
      <bottom/>
      <diagonal/>
    </border>
    <border>
      <left style="thin">
        <color auto="1"/>
      </left>
      <right style="thin">
        <color rgb="FF000000"/>
      </right>
      <top style="thin">
        <color rgb="FF000000"/>
      </top>
      <bottom/>
      <diagonal/>
    </border>
    <border>
      <left style="thin">
        <color rgb="FF000000"/>
      </left>
      <right/>
      <top style="thin">
        <color auto="1"/>
      </top>
      <bottom/>
      <diagonal/>
    </border>
    <border>
      <left style="thin">
        <color auto="1"/>
      </left>
      <right/>
      <top style="thin">
        <color auto="1"/>
      </top>
      <bottom/>
      <diagonal/>
    </border>
    <border>
      <left style="thin">
        <color auto="1"/>
      </left>
      <right style="thin">
        <color rgb="FF000000"/>
      </right>
      <top style="thin">
        <color auto="1"/>
      </top>
      <bottom/>
      <diagonal/>
    </border>
    <border>
      <left style="thin">
        <color rgb="FF000000"/>
      </left>
      <right/>
      <top style="thin">
        <color auto="1"/>
      </top>
      <bottom style="thin">
        <color rgb="FF000000"/>
      </bottom>
      <diagonal/>
    </border>
    <border>
      <left style="thin">
        <color auto="1"/>
      </left>
      <right/>
      <top style="thin">
        <color auto="1"/>
      </top>
      <bottom style="thin">
        <color rgb="FF000000"/>
      </bottom>
      <diagonal/>
    </border>
    <border>
      <left style="thin">
        <color auto="1"/>
      </left>
      <right style="thin">
        <color rgb="FF000000"/>
      </right>
      <top style="thin">
        <color auto="1"/>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0"/>
      </left>
      <right/>
      <top/>
      <bottom/>
      <diagonal/>
    </border>
    <border>
      <left/>
      <right/>
      <top style="thin">
        <color theme="4" tint="0.399975585192419"/>
      </top>
      <bottom/>
      <diagonal/>
    </border>
    <border>
      <left style="thin">
        <color theme="0"/>
      </left>
      <right/>
      <top style="thin">
        <color theme="4" tint="0.399975585192419"/>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xf numFmtId="176"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16" borderId="19"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0" applyNumberFormat="0" applyFill="0" applyAlignment="0" applyProtection="0">
      <alignment vertical="center"/>
    </xf>
    <xf numFmtId="0" fontId="16" fillId="0" borderId="20" applyNumberFormat="0" applyFill="0" applyAlignment="0" applyProtection="0">
      <alignment vertical="center"/>
    </xf>
    <xf numFmtId="0" fontId="17" fillId="0" borderId="21" applyNumberFormat="0" applyFill="0" applyAlignment="0" applyProtection="0">
      <alignment vertical="center"/>
    </xf>
    <xf numFmtId="0" fontId="17" fillId="0" borderId="0" applyNumberFormat="0" applyFill="0" applyBorder="0" applyAlignment="0" applyProtection="0">
      <alignment vertical="center"/>
    </xf>
    <xf numFmtId="0" fontId="18" fillId="17" borderId="22" applyNumberFormat="0" applyAlignment="0" applyProtection="0">
      <alignment vertical="center"/>
    </xf>
    <xf numFmtId="0" fontId="19" fillId="18" borderId="23" applyNumberFormat="0" applyAlignment="0" applyProtection="0">
      <alignment vertical="center"/>
    </xf>
    <xf numFmtId="0" fontId="20" fillId="18" borderId="22" applyNumberFormat="0" applyAlignment="0" applyProtection="0">
      <alignment vertical="center"/>
    </xf>
    <xf numFmtId="0" fontId="21" fillId="19" borderId="24" applyNumberFormat="0" applyAlignment="0" applyProtection="0">
      <alignment vertical="center"/>
    </xf>
    <xf numFmtId="0" fontId="22" fillId="0" borderId="25" applyNumberFormat="0" applyFill="0" applyAlignment="0" applyProtection="0">
      <alignment vertical="center"/>
    </xf>
    <xf numFmtId="0" fontId="23" fillId="0" borderId="26" applyNumberFormat="0" applyFill="0" applyAlignment="0" applyProtection="0">
      <alignment vertical="center"/>
    </xf>
    <xf numFmtId="0" fontId="24" fillId="20" borderId="0" applyNumberFormat="0" applyBorder="0" applyAlignment="0" applyProtection="0">
      <alignment vertical="center"/>
    </xf>
    <xf numFmtId="0" fontId="25" fillId="21" borderId="0" applyNumberFormat="0" applyBorder="0" applyAlignment="0" applyProtection="0">
      <alignment vertical="center"/>
    </xf>
    <xf numFmtId="0" fontId="26" fillId="22" borderId="0" applyNumberFormat="0" applyBorder="0" applyAlignment="0" applyProtection="0">
      <alignment vertical="center"/>
    </xf>
    <xf numFmtId="0" fontId="27" fillId="23" borderId="0" applyNumberFormat="0" applyBorder="0" applyAlignment="0" applyProtection="0">
      <alignment vertical="center"/>
    </xf>
    <xf numFmtId="0" fontId="28" fillId="12"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13" borderId="0" applyNumberFormat="0" applyBorder="0" applyAlignment="0" applyProtection="0">
      <alignment vertical="center"/>
    </xf>
    <xf numFmtId="0" fontId="28" fillId="27" borderId="0" applyNumberFormat="0" applyBorder="0" applyAlignment="0" applyProtection="0">
      <alignment vertical="center"/>
    </xf>
    <xf numFmtId="0" fontId="27" fillId="9" borderId="0" applyNumberFormat="0" applyBorder="0" applyAlignment="0" applyProtection="0">
      <alignment vertical="center"/>
    </xf>
    <xf numFmtId="0" fontId="27" fillId="28" borderId="0" applyNumberFormat="0" applyBorder="0" applyAlignment="0" applyProtection="0">
      <alignment vertical="center"/>
    </xf>
    <xf numFmtId="0" fontId="28" fillId="29" borderId="0" applyNumberFormat="0" applyBorder="0" applyAlignment="0" applyProtection="0">
      <alignment vertical="center"/>
    </xf>
    <xf numFmtId="0" fontId="28" fillId="30" borderId="0" applyNumberFormat="0" applyBorder="0" applyAlignment="0" applyProtection="0">
      <alignment vertical="center"/>
    </xf>
    <xf numFmtId="0" fontId="27" fillId="31" borderId="0" applyNumberFormat="0" applyBorder="0" applyAlignment="0" applyProtection="0">
      <alignment vertical="center"/>
    </xf>
    <xf numFmtId="0" fontId="27" fillId="32" borderId="0" applyNumberFormat="0" applyBorder="0" applyAlignment="0" applyProtection="0">
      <alignment vertical="center"/>
    </xf>
    <xf numFmtId="0" fontId="28" fillId="15" borderId="0" applyNumberFormat="0" applyBorder="0" applyAlignment="0" applyProtection="0">
      <alignment vertical="center"/>
    </xf>
    <xf numFmtId="0" fontId="28" fillId="33" borderId="0" applyNumberFormat="0" applyBorder="0" applyAlignment="0" applyProtection="0">
      <alignment vertical="center"/>
    </xf>
    <xf numFmtId="0" fontId="27" fillId="34" borderId="0" applyNumberFormat="0" applyBorder="0" applyAlignment="0" applyProtection="0">
      <alignment vertical="center"/>
    </xf>
    <xf numFmtId="0" fontId="27" fillId="35" borderId="0" applyNumberFormat="0" applyBorder="0" applyAlignment="0" applyProtection="0">
      <alignment vertical="center"/>
    </xf>
    <xf numFmtId="0" fontId="28" fillId="36" borderId="0" applyNumberFormat="0" applyBorder="0" applyAlignment="0" applyProtection="0">
      <alignment vertical="center"/>
    </xf>
    <xf numFmtId="0" fontId="28" fillId="37" borderId="0" applyNumberFormat="0" applyBorder="0" applyAlignment="0" applyProtection="0">
      <alignment vertical="center"/>
    </xf>
    <xf numFmtId="0" fontId="27" fillId="38" borderId="0" applyNumberFormat="0" applyBorder="0" applyAlignment="0" applyProtection="0">
      <alignment vertical="center"/>
    </xf>
    <xf numFmtId="0" fontId="27" fillId="39" borderId="0" applyNumberFormat="0" applyBorder="0" applyAlignment="0" applyProtection="0">
      <alignment vertical="center"/>
    </xf>
    <xf numFmtId="0" fontId="28" fillId="14" borderId="0" applyNumberFormat="0" applyBorder="0" applyAlignment="0" applyProtection="0">
      <alignment vertical="center"/>
    </xf>
    <xf numFmtId="0" fontId="28" fillId="40" borderId="0" applyNumberFormat="0" applyBorder="0" applyAlignment="0" applyProtection="0">
      <alignment vertical="center"/>
    </xf>
    <xf numFmtId="0" fontId="27" fillId="41"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67">
    <xf numFmtId="0" fontId="0" fillId="0" borderId="0" xfId="0"/>
    <xf numFmtId="0" fontId="1" fillId="0" borderId="0" xfId="52">
      <alignment vertical="center"/>
    </xf>
    <xf numFmtId="0" fontId="2" fillId="0" borderId="0" xfId="52" applyFont="1">
      <alignment vertical="center"/>
    </xf>
    <xf numFmtId="0" fontId="2" fillId="0" borderId="0" xfId="52" applyFont="1" applyAlignment="1">
      <alignment horizontal="center" vertical="center"/>
    </xf>
    <xf numFmtId="0" fontId="1" fillId="0" borderId="0" xfId="52" applyAlignment="1">
      <alignment horizontal="center" vertical="center"/>
    </xf>
    <xf numFmtId="2" fontId="2" fillId="0" borderId="0" xfId="52" applyNumberFormat="1" applyFont="1" applyAlignment="1">
      <alignment horizontal="center" vertical="center"/>
    </xf>
    <xf numFmtId="0" fontId="3" fillId="2" borderId="1" xfId="52" applyFont="1" applyFill="1" applyBorder="1">
      <alignment vertical="center"/>
    </xf>
    <xf numFmtId="0" fontId="3" fillId="2" borderId="2" xfId="52" applyFont="1" applyFill="1" applyBorder="1">
      <alignment vertical="center"/>
    </xf>
    <xf numFmtId="0" fontId="3" fillId="2" borderId="3" xfId="52" applyFont="1" applyFill="1" applyBorder="1">
      <alignment vertical="center"/>
    </xf>
    <xf numFmtId="0" fontId="4" fillId="0" borderId="0" xfId="52" applyFont="1">
      <alignment vertical="center"/>
    </xf>
    <xf numFmtId="0" fontId="4" fillId="3" borderId="4" xfId="0" applyFont="1" applyFill="1" applyBorder="1" applyAlignment="1">
      <alignment vertical="center"/>
    </xf>
    <xf numFmtId="2" fontId="4" fillId="3" borderId="5" xfId="0" applyNumberFormat="1" applyFont="1" applyFill="1" applyBorder="1" applyAlignment="1">
      <alignment vertical="center"/>
    </xf>
    <xf numFmtId="2" fontId="4" fillId="3" borderId="6" xfId="0" applyNumberFormat="1" applyFont="1" applyFill="1" applyBorder="1" applyAlignment="1">
      <alignment vertical="center"/>
    </xf>
    <xf numFmtId="2" fontId="4" fillId="0" borderId="0" xfId="52" applyNumberFormat="1" applyFont="1">
      <alignment vertical="center"/>
    </xf>
    <xf numFmtId="0" fontId="4" fillId="4" borderId="4" xfId="0" applyFont="1" applyFill="1" applyBorder="1" applyAlignment="1">
      <alignment vertical="center"/>
    </xf>
    <xf numFmtId="2" fontId="4" fillId="4" borderId="5" xfId="0" applyNumberFormat="1" applyFont="1" applyFill="1" applyBorder="1" applyAlignment="1">
      <alignment vertical="center"/>
    </xf>
    <xf numFmtId="2" fontId="4" fillId="4" borderId="6" xfId="0" applyNumberFormat="1" applyFont="1" applyFill="1" applyBorder="1" applyAlignment="1">
      <alignment vertical="center"/>
    </xf>
    <xf numFmtId="0" fontId="4" fillId="5" borderId="4" xfId="0" applyFont="1" applyFill="1" applyBorder="1" applyAlignment="1">
      <alignment vertical="center"/>
    </xf>
    <xf numFmtId="2" fontId="4" fillId="5" borderId="5" xfId="0" applyNumberFormat="1" applyFont="1" applyFill="1" applyBorder="1" applyAlignment="1">
      <alignment vertical="center"/>
    </xf>
    <xf numFmtId="2" fontId="4" fillId="5" borderId="6" xfId="0" applyNumberFormat="1" applyFont="1" applyFill="1" applyBorder="1" applyAlignment="1">
      <alignment vertical="center"/>
    </xf>
    <xf numFmtId="0" fontId="4" fillId="6" borderId="4" xfId="0" applyFont="1" applyFill="1" applyBorder="1" applyAlignment="1">
      <alignment vertical="center"/>
    </xf>
    <xf numFmtId="2" fontId="4" fillId="6" borderId="5" xfId="0" applyNumberFormat="1" applyFont="1" applyFill="1" applyBorder="1" applyAlignment="1">
      <alignment vertical="center"/>
    </xf>
    <xf numFmtId="2" fontId="4" fillId="6" borderId="6" xfId="0" applyNumberFormat="1" applyFont="1" applyFill="1" applyBorder="1" applyAlignment="1">
      <alignment vertical="center"/>
    </xf>
    <xf numFmtId="0" fontId="4" fillId="7" borderId="7" xfId="0" applyFont="1" applyFill="1" applyBorder="1" applyAlignment="1">
      <alignment vertical="center"/>
    </xf>
    <xf numFmtId="2" fontId="4" fillId="7" borderId="8" xfId="0" applyNumberFormat="1" applyFont="1" applyFill="1" applyBorder="1" applyAlignment="1">
      <alignment vertical="center"/>
    </xf>
    <xf numFmtId="2" fontId="4" fillId="7" borderId="9" xfId="0" applyNumberFormat="1" applyFont="1" applyFill="1" applyBorder="1" applyAlignment="1">
      <alignment vertical="center"/>
    </xf>
    <xf numFmtId="0" fontId="1" fillId="0" borderId="0" xfId="52" applyAlignment="1">
      <alignment vertical="center" wrapText="1"/>
    </xf>
    <xf numFmtId="0" fontId="2" fillId="8" borderId="10" xfId="0" applyFont="1" applyFill="1" applyBorder="1" applyAlignment="1">
      <alignment vertical="center"/>
    </xf>
    <xf numFmtId="0" fontId="3" fillId="3" borderId="10" xfId="0" applyFont="1" applyFill="1" applyBorder="1" applyAlignment="1">
      <alignment vertical="center"/>
    </xf>
    <xf numFmtId="0" fontId="3" fillId="4" borderId="10" xfId="0" applyFont="1" applyFill="1" applyBorder="1" applyAlignment="1">
      <alignment vertical="center"/>
    </xf>
    <xf numFmtId="0" fontId="3" fillId="5" borderId="10" xfId="0" applyFont="1" applyFill="1" applyBorder="1" applyAlignment="1">
      <alignment vertical="center"/>
    </xf>
    <xf numFmtId="0" fontId="3" fillId="6" borderId="10" xfId="0" applyFont="1" applyFill="1" applyBorder="1" applyAlignment="1">
      <alignment vertical="center"/>
    </xf>
    <xf numFmtId="0" fontId="3" fillId="7" borderId="10" xfId="0" applyFont="1" applyFill="1" applyBorder="1" applyAlignment="1">
      <alignment vertical="center"/>
    </xf>
    <xf numFmtId="0" fontId="2" fillId="9" borderId="10" xfId="0" applyFont="1" applyFill="1" applyBorder="1" applyAlignment="1">
      <alignment vertical="center" wrapText="1"/>
    </xf>
    <xf numFmtId="0" fontId="5" fillId="0" borderId="5" xfId="0" applyFont="1" applyBorder="1"/>
    <xf numFmtId="2" fontId="0" fillId="0" borderId="5" xfId="0" applyNumberFormat="1" applyBorder="1"/>
    <xf numFmtId="2" fontId="0" fillId="0" borderId="11" xfId="0" applyNumberFormat="1" applyBorder="1"/>
    <xf numFmtId="0" fontId="6" fillId="0" borderId="5" xfId="0" applyFont="1" applyBorder="1"/>
    <xf numFmtId="0" fontId="4" fillId="0" borderId="0" xfId="0" applyFont="1"/>
    <xf numFmtId="0" fontId="2" fillId="0" borderId="12" xfId="0" applyFont="1" applyBorder="1"/>
    <xf numFmtId="2" fontId="2" fillId="0" borderId="12" xfId="0" applyNumberFormat="1" applyFont="1" applyBorder="1"/>
    <xf numFmtId="2" fontId="2" fillId="0" borderId="10" xfId="0" applyNumberFormat="1" applyFont="1" applyBorder="1"/>
    <xf numFmtId="0" fontId="5" fillId="0" borderId="10" xfId="0" applyFont="1" applyBorder="1"/>
    <xf numFmtId="0" fontId="0" fillId="0" borderId="10" xfId="0" applyBorder="1"/>
    <xf numFmtId="0" fontId="6" fillId="0" borderId="10" xfId="0" applyFont="1" applyBorder="1"/>
    <xf numFmtId="0" fontId="2" fillId="0" borderId="10" xfId="0" applyFont="1" applyBorder="1"/>
    <xf numFmtId="0" fontId="3" fillId="10" borderId="12" xfId="0" applyFont="1" applyFill="1" applyBorder="1" applyAlignment="1">
      <alignment vertical="center"/>
    </xf>
    <xf numFmtId="0" fontId="7" fillId="11" borderId="13" xfId="0" applyFont="1" applyFill="1" applyBorder="1"/>
    <xf numFmtId="0" fontId="3" fillId="10" borderId="14" xfId="0" applyFont="1" applyFill="1" applyBorder="1" applyAlignment="1">
      <alignment vertical="center"/>
    </xf>
    <xf numFmtId="0" fontId="3" fillId="10" borderId="10" xfId="0" applyFont="1" applyFill="1" applyBorder="1" applyAlignment="1">
      <alignment vertical="center"/>
    </xf>
    <xf numFmtId="0" fontId="4" fillId="3" borderId="10" xfId="0" applyFont="1" applyFill="1" applyBorder="1" applyAlignment="1">
      <alignment vertical="center"/>
    </xf>
    <xf numFmtId="0" fontId="0" fillId="12" borderId="15" xfId="0" applyFill="1" applyBorder="1" applyAlignment="1">
      <alignment vertical="center" wrapText="1"/>
    </xf>
    <xf numFmtId="0" fontId="4" fillId="0" borderId="10" xfId="0" applyFont="1" applyBorder="1" applyAlignment="1">
      <alignment vertical="center"/>
    </xf>
    <xf numFmtId="0" fontId="4" fillId="0" borderId="10" xfId="0" applyFont="1" applyBorder="1" applyAlignment="1">
      <alignment horizontal="center" vertical="center"/>
    </xf>
    <xf numFmtId="0" fontId="0" fillId="12" borderId="10" xfId="0" applyFill="1" applyBorder="1" applyAlignment="1">
      <alignment vertical="center" wrapText="1"/>
    </xf>
    <xf numFmtId="0" fontId="4" fillId="4" borderId="10" xfId="0" applyFont="1" applyFill="1" applyBorder="1" applyAlignment="1">
      <alignment vertical="center"/>
    </xf>
    <xf numFmtId="0" fontId="0" fillId="13" borderId="10" xfId="0" applyFill="1" applyBorder="1" applyAlignment="1">
      <alignment vertical="center" wrapText="1"/>
    </xf>
    <xf numFmtId="0" fontId="4" fillId="5" borderId="10" xfId="0" applyFont="1" applyFill="1" applyBorder="1" applyAlignment="1">
      <alignment vertical="center"/>
    </xf>
    <xf numFmtId="0" fontId="0" fillId="14" borderId="10" xfId="0" applyFill="1" applyBorder="1" applyAlignment="1">
      <alignment vertical="center" wrapText="1"/>
    </xf>
    <xf numFmtId="0" fontId="4" fillId="6" borderId="10" xfId="0" applyFont="1" applyFill="1" applyBorder="1" applyAlignment="1">
      <alignment vertical="center"/>
    </xf>
    <xf numFmtId="0" fontId="4" fillId="7" borderId="10" xfId="0" applyFont="1" applyFill="1" applyBorder="1" applyAlignment="1">
      <alignment vertical="center"/>
    </xf>
    <xf numFmtId="0" fontId="0" fillId="15" borderId="10" xfId="0" applyFill="1" applyBorder="1" applyAlignment="1">
      <alignment vertical="center" wrapText="1"/>
    </xf>
    <xf numFmtId="0" fontId="8" fillId="0" borderId="0" xfId="0" applyFont="1"/>
    <xf numFmtId="0" fontId="8" fillId="0" borderId="16" xfId="0" applyFont="1" applyBorder="1"/>
    <xf numFmtId="0" fontId="6" fillId="0" borderId="17" xfId="0" applyFont="1" applyBorder="1"/>
    <xf numFmtId="0" fontId="6" fillId="0" borderId="18" xfId="0" applyFont="1" applyBorder="1"/>
    <xf numFmtId="0" fontId="9" fillId="0" borderId="18" xfId="0" applyFont="1" applyBorder="1"/>
  </cellXfs>
  <cellStyles count="5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標準 2" xfId="49"/>
    <cellStyle name="標準 2 2" xfId="50"/>
    <cellStyle name="標準 2 3" xfId="51"/>
    <cellStyle name="標準 2 3 2" xfId="52"/>
  </cellStyles>
  <dxfs count="195">
    <dxf>
      <font>
        <name val="Calibri"/>
        <scheme val="none"/>
        <family val="2"/>
        <b val="0"/>
        <i val="0"/>
        <strike val="0"/>
        <u val="none"/>
        <sz val="11"/>
        <color rgb="FF000000"/>
      </font>
      <fill>
        <patternFill patternType="none"/>
      </fill>
      <border>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2.xml"/><Relationship Id="rId8" Type="http://schemas.openxmlformats.org/officeDocument/2006/relationships/customXml" Target="../customXml/item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eetMetadata" Target="metadata.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customXml" Target="../customXml/item3.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aaa!$C$26</c:f>
              <c:strCache>
                <c:ptCount val="1"/>
                <c:pt idx="0">
                  <c:v>社内平均</c:v>
                </c:pt>
              </c:strCache>
            </c:strRef>
          </c:tx>
          <c:spPr>
            <a:ln w="28575" cap="rnd">
              <a:solidFill>
                <a:schemeClr val="accent1"/>
              </a:solidFill>
              <a:round/>
            </a:ln>
            <a:effectLst/>
          </c:spPr>
          <c:marker>
            <c:symbol val="none"/>
          </c:marker>
          <c:dLbls>
            <c:delete val="1"/>
          </c:dLbls>
          <c:cat>
            <c:strRef>
              <c:f>aaa!$B$27:$B$31</c:f>
              <c:strCache>
                <c:ptCount val="5"/>
                <c:pt idx="0">
                  <c:v>パスワード管理</c:v>
                </c:pt>
                <c:pt idx="1">
                  <c:v>認証設計</c:v>
                </c:pt>
                <c:pt idx="2">
                  <c:v>テレワーク</c:v>
                </c:pt>
                <c:pt idx="3">
                  <c:v>ゼロトラスト</c:v>
                </c:pt>
                <c:pt idx="4">
                  <c:v>クラウドサービス</c:v>
                </c:pt>
              </c:strCache>
            </c:strRef>
          </c:cat>
          <c:val>
            <c:numRef>
              <c:f>aaa!$C$27:$C$31</c:f>
              <c:numCache>
                <c:formatCode>0.00</c:formatCode>
                <c:ptCount val="5"/>
                <c:pt idx="0">
                  <c:v>2.83</c:v>
                </c:pt>
                <c:pt idx="1">
                  <c:v>4.03</c:v>
                </c:pt>
                <c:pt idx="2">
                  <c:v>4.35</c:v>
                </c:pt>
                <c:pt idx="3">
                  <c:v>2.98</c:v>
                </c:pt>
                <c:pt idx="4">
                  <c:v>2.84</c:v>
                </c:pt>
              </c:numCache>
            </c:numRef>
          </c:val>
        </c:ser>
        <c:ser>
          <c:idx val="1"/>
          <c:order val="1"/>
          <c:tx>
            <c:strRef>
              <c:f>aaa!$D$26</c:f>
              <c:strCache>
                <c:ptCount val="1"/>
                <c:pt idx="0">
                  <c:v>今回の得点</c:v>
                </c:pt>
              </c:strCache>
            </c:strRef>
          </c:tx>
          <c:spPr>
            <a:ln w="28575" cap="rnd">
              <a:solidFill>
                <a:schemeClr val="accent2"/>
              </a:solidFill>
              <a:round/>
            </a:ln>
            <a:effectLst/>
          </c:spPr>
          <c:marker>
            <c:symbol val="none"/>
          </c:marker>
          <c:dLbls>
            <c:delete val="1"/>
          </c:dLbls>
          <c:cat>
            <c:strRef>
              <c:f>aaa!$B$27:$B$31</c:f>
              <c:strCache>
                <c:ptCount val="5"/>
                <c:pt idx="0">
                  <c:v>パスワード管理</c:v>
                </c:pt>
                <c:pt idx="1">
                  <c:v>認証設計</c:v>
                </c:pt>
                <c:pt idx="2">
                  <c:v>テレワーク</c:v>
                </c:pt>
                <c:pt idx="3">
                  <c:v>ゼロトラスト</c:v>
                </c:pt>
                <c:pt idx="4">
                  <c:v>クラウドサービス</c:v>
                </c:pt>
              </c:strCache>
            </c:strRef>
          </c:cat>
          <c:val>
            <c:numRef>
              <c:f>aaa!$D$27:$D$31</c:f>
              <c:numCache>
                <c:formatCode>0.00</c:formatCode>
                <c:ptCount val="5"/>
                <c:pt idx="0">
                  <c:v>3.75</c:v>
                </c:pt>
                <c:pt idx="1">
                  <c:v>4.58333333333333</c:v>
                </c:pt>
                <c:pt idx="2">
                  <c:v>5</c:v>
                </c:pt>
                <c:pt idx="3">
                  <c:v>5</c:v>
                </c:pt>
                <c:pt idx="4">
                  <c:v>4.58333333333333</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c29b361e-a291-42fa-a248-2f2a4ec363b8}"/>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bbb!$C$26</c:f>
              <c:strCache>
                <c:ptCount val="1"/>
                <c:pt idx="0">
                  <c:v>社内平均</c:v>
                </c:pt>
              </c:strCache>
            </c:strRef>
          </c:tx>
          <c:spPr>
            <a:ln w="28575" cap="rnd">
              <a:solidFill>
                <a:schemeClr val="accent1"/>
              </a:solidFill>
              <a:round/>
            </a:ln>
            <a:effectLst/>
          </c:spPr>
          <c:marker>
            <c:symbol val="none"/>
          </c:marker>
          <c:dLbls>
            <c:delete val="1"/>
          </c:dLbls>
          <c:cat>
            <c:strRef>
              <c:f>bbb!$B$27:$B$31</c:f>
              <c:strCache>
                <c:ptCount val="5"/>
                <c:pt idx="0">
                  <c:v>パスワード管理</c:v>
                </c:pt>
                <c:pt idx="1">
                  <c:v>認証設計</c:v>
                </c:pt>
                <c:pt idx="2">
                  <c:v>テレワーク</c:v>
                </c:pt>
                <c:pt idx="3">
                  <c:v>ゼロトラスト</c:v>
                </c:pt>
                <c:pt idx="4">
                  <c:v>クラウドサービス</c:v>
                </c:pt>
              </c:strCache>
            </c:strRef>
          </c:cat>
          <c:val>
            <c:numRef>
              <c:f>bbb!$C$27:$C$31</c:f>
              <c:numCache>
                <c:formatCode>0.00</c:formatCode>
                <c:ptCount val="5"/>
                <c:pt idx="0">
                  <c:v>2.83</c:v>
                </c:pt>
                <c:pt idx="1">
                  <c:v>4.03</c:v>
                </c:pt>
                <c:pt idx="2">
                  <c:v>4.35</c:v>
                </c:pt>
                <c:pt idx="3">
                  <c:v>2.98</c:v>
                </c:pt>
                <c:pt idx="4">
                  <c:v>2.84</c:v>
                </c:pt>
              </c:numCache>
            </c:numRef>
          </c:val>
        </c:ser>
        <c:ser>
          <c:idx val="1"/>
          <c:order val="1"/>
          <c:tx>
            <c:strRef>
              <c:f>bbb!$D$26</c:f>
              <c:strCache>
                <c:ptCount val="1"/>
                <c:pt idx="0">
                  <c:v>今回の得点</c:v>
                </c:pt>
              </c:strCache>
            </c:strRef>
          </c:tx>
          <c:spPr>
            <a:ln w="28575" cap="rnd">
              <a:solidFill>
                <a:schemeClr val="accent2"/>
              </a:solidFill>
              <a:round/>
            </a:ln>
            <a:effectLst/>
          </c:spPr>
          <c:marker>
            <c:symbol val="none"/>
          </c:marker>
          <c:dLbls>
            <c:delete val="1"/>
          </c:dLbls>
          <c:cat>
            <c:strRef>
              <c:f>bbb!$B$27:$B$31</c:f>
              <c:strCache>
                <c:ptCount val="5"/>
                <c:pt idx="0">
                  <c:v>パスワード管理</c:v>
                </c:pt>
                <c:pt idx="1">
                  <c:v>認証設計</c:v>
                </c:pt>
                <c:pt idx="2">
                  <c:v>テレワーク</c:v>
                </c:pt>
                <c:pt idx="3">
                  <c:v>ゼロトラスト</c:v>
                </c:pt>
                <c:pt idx="4">
                  <c:v>クラウドサービス</c:v>
                </c:pt>
              </c:strCache>
            </c:strRef>
          </c:cat>
          <c:val>
            <c:numRef>
              <c:f>bbb!$D$27:$D$31</c:f>
              <c:numCache>
                <c:formatCode>0.00</c:formatCode>
                <c:ptCount val="5"/>
                <c:pt idx="0">
                  <c:v>2.91666666666667</c:v>
                </c:pt>
                <c:pt idx="1">
                  <c:v>2.91666666666667</c:v>
                </c:pt>
                <c:pt idx="2">
                  <c:v>3.75</c:v>
                </c:pt>
                <c:pt idx="3">
                  <c:v>2.5</c:v>
                </c:pt>
                <c:pt idx="4">
                  <c:v>2.08333333333333</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8fd62ed-d4cd-4c79-86c5-004e025e844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ccc!$C$26</c:f>
              <c:strCache>
                <c:ptCount val="1"/>
                <c:pt idx="0">
                  <c:v>社内平均</c:v>
                </c:pt>
              </c:strCache>
            </c:strRef>
          </c:tx>
          <c:spPr>
            <a:ln w="28575" cap="rnd">
              <a:solidFill>
                <a:schemeClr val="accent1"/>
              </a:solidFill>
              <a:round/>
            </a:ln>
            <a:effectLst/>
          </c:spPr>
          <c:marker>
            <c:symbol val="none"/>
          </c:marker>
          <c:dLbls>
            <c:delete val="1"/>
          </c:dLbls>
          <c:cat>
            <c:strRef>
              <c:f>ccc!$B$27:$B$31</c:f>
              <c:strCache>
                <c:ptCount val="5"/>
                <c:pt idx="0">
                  <c:v>パスワード管理</c:v>
                </c:pt>
                <c:pt idx="1">
                  <c:v>認証設計</c:v>
                </c:pt>
                <c:pt idx="2">
                  <c:v>テレワーク</c:v>
                </c:pt>
                <c:pt idx="3">
                  <c:v>ゼロトラスト</c:v>
                </c:pt>
                <c:pt idx="4">
                  <c:v>クラウドサービス</c:v>
                </c:pt>
              </c:strCache>
            </c:strRef>
          </c:cat>
          <c:val>
            <c:numRef>
              <c:f>ccc!$C$27:$C$31</c:f>
              <c:numCache>
                <c:formatCode>0.00</c:formatCode>
                <c:ptCount val="5"/>
                <c:pt idx="0">
                  <c:v>2.83</c:v>
                </c:pt>
                <c:pt idx="1">
                  <c:v>4.03</c:v>
                </c:pt>
                <c:pt idx="2">
                  <c:v>4.35</c:v>
                </c:pt>
                <c:pt idx="3">
                  <c:v>2.98</c:v>
                </c:pt>
                <c:pt idx="4">
                  <c:v>2.84</c:v>
                </c:pt>
              </c:numCache>
            </c:numRef>
          </c:val>
        </c:ser>
        <c:ser>
          <c:idx val="1"/>
          <c:order val="1"/>
          <c:tx>
            <c:strRef>
              <c:f>ccc!$D$26</c:f>
              <c:strCache>
                <c:ptCount val="1"/>
                <c:pt idx="0">
                  <c:v>今回の得点</c:v>
                </c:pt>
              </c:strCache>
            </c:strRef>
          </c:tx>
          <c:spPr>
            <a:ln w="28575" cap="rnd">
              <a:solidFill>
                <a:schemeClr val="accent2"/>
              </a:solidFill>
              <a:round/>
            </a:ln>
            <a:effectLst/>
          </c:spPr>
          <c:marker>
            <c:symbol val="none"/>
          </c:marker>
          <c:dLbls>
            <c:delete val="1"/>
          </c:dLbls>
          <c:cat>
            <c:strRef>
              <c:f>ccc!$B$27:$B$31</c:f>
              <c:strCache>
                <c:ptCount val="5"/>
                <c:pt idx="0">
                  <c:v>パスワード管理</c:v>
                </c:pt>
                <c:pt idx="1">
                  <c:v>認証設計</c:v>
                </c:pt>
                <c:pt idx="2">
                  <c:v>テレワーク</c:v>
                </c:pt>
                <c:pt idx="3">
                  <c:v>ゼロトラスト</c:v>
                </c:pt>
                <c:pt idx="4">
                  <c:v>クラウドサービス</c:v>
                </c:pt>
              </c:strCache>
            </c:strRef>
          </c:cat>
          <c:val>
            <c:numRef>
              <c:f>ccc!$D$27:$D$31</c:f>
              <c:numCache>
                <c:formatCode>0.00</c:formatCode>
                <c:ptCount val="5"/>
                <c:pt idx="0">
                  <c:v>2.91666666666667</c:v>
                </c:pt>
                <c:pt idx="1">
                  <c:v>4.16666666666667</c:v>
                </c:pt>
                <c:pt idx="2">
                  <c:v>4.58333333333333</c:v>
                </c:pt>
                <c:pt idx="3">
                  <c:v>4.16666666666667</c:v>
                </c:pt>
                <c:pt idx="4">
                  <c:v>4.16666666666667</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0c547c6c-46c0-4c86-a3f0-652c68e6b211}"/>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2" name="テーブル2" displayName="テーブル2" ref="A1:GM54" totalsRowShown="0">
  <autoFilter xmlns:etc="http://www.wps.cn/officeDocument/2017/etCustomData" ref="A1:GM54" etc:filterBottomFollowUsedRange="0"/>
  <tableColumns count="195">
    <tableColumn id="1" name="ID" dataDxfId="0"/>
    <tableColumn id="2" name="開始時刻" dataDxfId="1"/>
    <tableColumn id="3" name="完了時刻" dataDxfId="2"/>
    <tableColumn id="4" name="メール" dataDxfId="3"/>
    <tableColumn id="5" name="名前" dataDxfId="4"/>
    <tableColumn id="6" name="合計点数" dataDxfId="5"/>
    <tableColumn id="7" name="クイズのフィードバック" dataDxfId="6"/>
    <tableColumn id="8" name="最終変更時刻" dataDxfId="7"/>
    <tableColumn id="9" name="部署名" dataDxfId="8"/>
    <tableColumn id="10" name="点数 - 部署名" dataDxfId="9"/>
    <tableColumn id="11" name="フィードバック - 部署名" dataDxfId="10"/>
    <tableColumn id="12" name="氏名" dataDxfId="11"/>
    <tableColumn id="13" name="メールアドレス" dataDxfId="12"/>
    <tableColumn id="14" name="点数 - メールアドレス" dataDxfId="13"/>
    <tableColumn id="15" name="フィードバック - メールアドレス" dataDxfId="14"/>
    <tableColumn id="16" name="多くの ID／パスワードを扱う環境で最初に実装すべき運用はどれか。" dataDxfId="15"/>
    <tableColumn id="17" name="点数 - 多くの ID／パスワードを扱う環境で最初に実装すべき運用はどれか。" dataDxfId="16"/>
    <tableColumn id="18" name="フィードバック - 多くの ID／パスワードを扱う環境で最初に実装すべき運用はどれか。" dataDxfId="17"/>
    <tableColumn id="19" name="パスワードポリシーに「長さ優先」＋「文章型パスフレーズ推奨」を同時に採用する主なメリットはどれか。" dataDxfId="18"/>
    <tableColumn id="20" name="点数 - パスワードポリシーに「長さ優先」＋「文章型パスフレーズ推奨」を同時に採用する主なメリットはどれか。" dataDxfId="19"/>
    <tableColumn id="21" name="フィードバック - パスワードポリシーに「長さ優先」＋「文章型パスフレーズ推奨」を同時に採用する主なメリットはどれか。" dataDxfId="20"/>
    <tableColumn id="22" name="パスワードマネージャーの導入後も残る重要なリスクとして、特に考慮すべきものはどれか。" dataDxfId="21"/>
    <tableColumn id="23" name="点数 - パスワードマネージャーの導入後も残る重要なリスクとして、特に考慮すべきものはどれか。" dataDxfId="22"/>
    <tableColumn id="24" name="フィードバック - パスワードマネージャーの導入後も残る重要なリスクとして、特に考慮すべきものはどれか。" dataDxfId="23"/>
    <tableColumn id="25" name="パスワードについて、定期的な変更の強制を廃止し、イベントベース更新へ移行する際に必要となる仕組みはどれか。" dataDxfId="24"/>
    <tableColumn id="26" name="点数 - パスワードについて、定期的な変更の強制を廃止し、イベントベース更新へ移行する際に必要となる仕組みはどれか。" dataDxfId="25"/>
    <tableColumn id="27" name="フィードバック - パスワードについて、定期的な変更の強制を廃止し、イベントベース更新へ移行する際に必要となる仕組みはどれか。" dataDxfId="26"/>
    <tableColumn id="28" name="「社内での不適切なパスワード管理」を根本的に減らすための施策はどれか。" dataDxfId="27"/>
    <tableColumn id="29" name="フィードバック - 「社内での不適切なパスワード管理」を根本的に減らすための施策はどれか。" dataDxfId="28"/>
    <tableColumn id="30" name="点数 - 「社内での不適切なパスワード管理」を根本的に減らすための施策はどれか。" dataDxfId="29"/>
    <tableColumn id="31" name="知識要素と所有要素で構成される多要素認証（MFA）の組み合わせとして適切なものはどれか。" dataDxfId="30"/>
    <tableColumn id="32" name="フィードバック - 知識要素と所有要素で構成される多要素認証（MFA）の組み合わせとして適切なものはどれか。" dataDxfId="31"/>
    <tableColumn id="33" name="点数 - 知識要素と所有要素で構成される多要素認証（MFA）の組み合わせとして適切なものはどれか。" dataDxfId="32"/>
    <tableColumn id="34" name="シングルサインオン（SSO）導入後にフィッシング被害が拡大しやすくなるケースはどれか。" dataDxfId="33"/>
    <tableColumn id="35" name="フィードバック - シングルサインオン（SSO）導入後にフィッシング被害が拡大しやすくなるケースはどれか。" dataDxfId="34"/>
    <tableColumn id="36" name="点数 - シングルサインオン（SSO）導入後にフィッシング被害が拡大しやすくなるケースはどれか。" dataDxfId="35"/>
    <tableColumn id="37" name="Passkeyの「端末間シームレス利用」を成立させる前提として正しいものはどれか。" dataDxfId="36"/>
    <tableColumn id="38" name="フィードバック - Passkeyの「端末間シームレス利用」を成立させる前提として正しいものはどれか。" dataDxfId="37"/>
    <tableColumn id="39" name="点数 - Passkeyの「端末間シームレス利用」を成立させる前提として正しいものはどれか。" dataDxfId="38"/>
    <tableColumn id="40" name="文章型パスフレーズを採用する場合に追加で策定すべきガイドラインはどれか。" dataDxfId="39"/>
    <tableColumn id="41" name="フィードバック - 文章型パスフレーズを採用する場合に追加で策定すべきガイドラインはどれか。" dataDxfId="40"/>
    <tableColumn id="42" name="点数 - 文章型パスフレーズを採用する場合に追加で策定すべきガイドラインはどれか。" dataDxfId="41"/>
    <tableColumn id="43" name="パスワードレス化を進める際に最初に行うべき準備として最も適切なものはどれか。" dataDxfId="42"/>
    <tableColumn id="44" name="フィードバック - パスワードレス化を進める際に最初に行うべき準備として最も適切なものはどれか。" dataDxfId="43"/>
    <tableColumn id="45" name="点数 - パスワードレス化を進める際に最初に行うべき準備として最も適切なものはどれか。" dataDxfId="44"/>
    <tableColumn id="46" name="パスワードレス化によりエンドユーザーが最も早く実感しやすい利便性はどれか。" dataDxfId="45"/>
    <tableColumn id="47" name="フィードバック - パスワードレス化によりエンドユーザーが最も早く実感しやすい利便性はどれか。" dataDxfId="46"/>
    <tableColumn id="48" name="点数 - パスワードレス化によりエンドユーザーが最も早く実感しやすい利便性はどれか。" dataDxfId="47"/>
    <tableColumn id="49" name="MFA・SSO・Passkeyなどの認証方法を導入した後も依然として残りうる攻撃手法は次のうちどれか。" dataDxfId="48"/>
    <tableColumn id="50" name="フィードバック - MFA・SSO・Passkeyなどの認証方法を導入した後も依然として残りうる攻撃手法は次のうちどれか。" dataDxfId="49"/>
    <tableColumn id="51" name="点数 - MFA・SSO・Passkeyなどの認証方法を導入した後も依然として残りうる攻撃手法は次のうちどれか。" dataDxfId="50"/>
    <tableColumn id="52" name="認証の主な目的として最も適切なものはどれか。" dataDxfId="51"/>
    <tableColumn id="53" name="フィードバック - 認証の主な目的として最も適切なものはどれか。" dataDxfId="52"/>
    <tableColumn id="54" name="点数 - 認証の主な目的として最も適切なものはどれか。" dataDxfId="53"/>
    <tableColumn id="55" name="認証と認可を設計段階で分離して扱うべき主な理由はどれか。" dataDxfId="54"/>
    <tableColumn id="56" name="フィードバック - 認証と認可を設計段階で分離して扱うべき主な理由はどれか。" dataDxfId="55"/>
    <tableColumn id="57" name="点数 - 認証と認可を設計段階で分離して扱うべき主な理由はどれか。" dataDxfId="56"/>
    <tableColumn id="58" name="最小権限の原則を適用した認可設計において、権限過多によるセキュリティリスクを最も効果的に検知する方法はどれか。" dataDxfId="57"/>
    <tableColumn id="59" name="フィードバック - 最小権限の原則を適用した認可設計において、権限過多によるセキュリティリスクを最も効果的に検知する方法はどれか。" dataDxfId="58"/>
    <tableColumn id="60" name="点数 - 最小権限の原則を適用した認可設計において、権限過多によるセキュリティリスクを最も効果的に検知する方法はどれか。" dataDxfId="59"/>
    <tableColumn id="61" name="認証設計の観点から、「最小権限の原則」の形骸化を防ぐ方法として適切なものはどれか。" dataDxfId="60"/>
    <tableColumn id="62" name="フィードバック - 認証設計の観点から、「最小権限の原則」の形骸化を防ぐ方法として適切なものはどれか。" dataDxfId="61"/>
    <tableColumn id="63" name="点数 - 認証設計の観点から、「最小権限の原則」の形骸化を防ぐ方法として適切なものはどれか。" dataDxfId="62"/>
    <tableColumn id="64" name="認証設計において、プロトコル選定時に最も重要となる観点はどれか。" dataDxfId="63"/>
    <tableColumn id="65" name="フィードバック - 認証設計において、プロトコル選定時に最も重要となる観点はどれか。" dataDxfId="64"/>
    <tableColumn id="66" name="点数 - 認証設計において、プロトコル選定時に最も重要となる観点はどれか。" dataDxfId="65"/>
    <tableColumn id="67" name="認証情報を安全に扱うための設計として、最も適切なものはどれか。" dataDxfId="66"/>
    <tableColumn id="68" name="フィードバック - 認証情報を安全に扱うための設計として、最も適切なものはどれか。" dataDxfId="67"/>
    <tableColumn id="69" name="点数 - 認証情報を安全に扱うための設計として、最も適切なものはどれか。" dataDxfId="68"/>
    <tableColumn id="70" name="認証情報の取り扱いに関するベストプラクティスとして最も適切なのはどれか。" dataDxfId="69"/>
    <tableColumn id="71" name="フィードバック - 認証情報の取り扱いに関するベストプラクティスとして最も適切なのはどれか。" dataDxfId="70"/>
    <tableColumn id="72" name="点数 - 認証情報の取り扱いに関するベストプラクティスとして最も適切なのはどれか。" dataDxfId="71"/>
    <tableColumn id="73" name="認証設計において「UI・UX」とのバランスが課題となるのはどのような状況か。" dataDxfId="72"/>
    <tableColumn id="74" name="点数 - 認証設計において「UI・UX」とのバランスが課題となるのはどのような状況か。" dataDxfId="73"/>
    <tableColumn id="75" name="フィードバック - 認証設計において「UI・UX」とのバランスが課題となるのはどのような状況か。" dataDxfId="74"/>
    <tableColumn id="76" name="認証に関連する設計全体で意識すべき方針として、最も適切なものはどれか。" dataDxfId="75"/>
    <tableColumn id="77" name="点数 - 認証に関連する設計全体で意識すべき方針として、最も適切なものはどれか。" dataDxfId="76"/>
    <tableColumn id="78" name="フィードバック - 認証に関連する設計全体で意識すべき方針として、最も適切なものはどれか。" dataDxfId="77"/>
    <tableColumn id="79" name="ユーザーの状況に応じて認証の強度を自動的に変える仕組みが最も効果的なケースはどれか。" dataDxfId="78"/>
    <tableColumn id="80" name="点数 - ユーザーの状況に応じて認証の強度を自動的に変える仕組みが最も効果的なケースはどれか。" dataDxfId="79"/>
    <tableColumn id="81" name="フィードバック - ユーザーの状況に応じて認証の強度を自動的に変える仕組みが最も効果的なケースはどれか。" dataDxfId="80"/>
    <tableColumn id="82" name="認証関連ログの活用において、ログ設計で最も重要な視点はどれか。" dataDxfId="81"/>
    <tableColumn id="83" name="点数 - 認証関連ログの活用において、ログ設計で最も重要な視点はどれか。" dataDxfId="82"/>
    <tableColumn id="84" name="フィードバック - 認証関連ログの活用において、ログ設計で最も重要な視点はどれか。" dataDxfId="83"/>
    <tableColumn id="85" name="認証関連のログを運用で活用する際、重要な取り組みはどれか。" dataDxfId="84"/>
    <tableColumn id="86" name="点数 - 認証関連のログを運用で活用する際、重要な取り組みはどれか。" dataDxfId="85"/>
    <tableColumn id="87" name="フィードバック - 認証関連のログを運用で活用する際、重要な取り組みはどれか。" dataDxfId="86"/>
    <tableColumn id="88" name=" テレワーク環境において、従来のオフィス勤務と比較して最も注意すべきセキュリティリスクはどれか。" dataDxfId="87"/>
    <tableColumn id="89" name="フィードバック -  テレワーク環境において、従来のオフィス勤務と比較して最も注意すべきセキュリティリスクはどれか。" dataDxfId="88"/>
    <tableColumn id="90" name="点数 -  テレワーク環境において、従来のオフィス勤務と比較して最も注意すべきセキュリティリスクはどれか。" dataDxfId="89"/>
    <tableColumn id="91" name="テレワーク環境でクラウドサービスやコラボレーションツールの利用が拡大することに伴い、IT部門にとっての課題として最も適切なのはどれか。" dataDxfId="90"/>
    <tableColumn id="92" name="フィードバック - テレワーク環境でクラウドサービスやコラボレーションツールの利用が拡大することに伴い、IT部門にとっての課題として最も適切なのはどれか。" dataDxfId="91"/>
    <tableColumn id="93" name="点数 - テレワーク環境でクラウドサービスやコラボレーションツールの利用が拡大することに伴い、IT部門にとっての課題として最も適切なのはどれか。" dataDxfId="92"/>
    <tableColumn id="94" name="テレワーク環境での情報漏えい対策として、最も適切なものはどれか。" dataDxfId="93"/>
    <tableColumn id="95" name="フィードバック - テレワーク環境での情報漏えい対策として、最も適切なものはどれか。" dataDxfId="94"/>
    <tableColumn id="96" name="点数 - テレワーク環境での情報漏えい対策として、最も適切なものはどれか。" dataDxfId="95"/>
    <tableColumn id="97" name="テレワーク時の端末管理に関して、セキュリティリスクが特に高まるのはどのような状態か。" dataDxfId="96"/>
    <tableColumn id="98" name="フィードバック - テレワーク時の端末管理に関して、セキュリティリスクが特に高まるのはどのような状態か。" dataDxfId="97"/>
    <tableColumn id="99" name="点数 - テレワーク時の端末管理に関して、セキュリティリスクが特に高まるのはどのような状態か。" dataDxfId="98"/>
    <tableColumn id="100" name="テレワークでの情報漏えいリスクとして、「ユーザー操作のリスク」に該当するものはどれか。" dataDxfId="99"/>
    <tableColumn id="101" name="フィードバック - テレワークでの情報漏えいリスクとして、「ユーザー操作のリスク」に該当するものはどれか。" dataDxfId="100"/>
    <tableColumn id="102" name="点数 - テレワークでの情報漏えいリスクとして、「ユーザー操作のリスク」に該当するものはどれか。" dataDxfId="101"/>
    <tableColumn id="103" name="テレワーク環境を標的とした攻撃の特徴と、特に狙われやすいリスク要因として正しいものはどれか。" dataDxfId="102"/>
    <tableColumn id="104" name="フィードバック - テレワーク環境を標的とした攻撃の特徴と、特に狙われやすいリスク要因として正しいものはどれか。" dataDxfId="103"/>
    <tableColumn id="105" name="点数 - テレワーク環境を標的とした攻撃の特徴と、特に狙われやすいリスク要因として正しいものはどれか。" dataDxfId="104"/>
    <tableColumn id="106" name="在宅勤務環境におけるセキュリティ格差の原因として最も適切なものはどれか。" dataDxfId="105"/>
    <tableColumn id="107" name="フィードバック - 在宅勤務環境におけるセキュリティ格差の原因として最も適切なものはどれか。" dataDxfId="106"/>
    <tableColumn id="108" name="点数 - 在宅勤務環境におけるセキュリティ格差の原因として最も適切なものはどれか。" dataDxfId="107"/>
    <tableColumn id="109" name="テレワーク方式の選択において、「業務データを端末に残さない」ことを重視する場合に適切な方式はどれか。" dataDxfId="108"/>
    <tableColumn id="110" name="フィードバック - テレワーク方式の選択において、「業務データを端末に残さない」ことを重視する場合に適切な方式はどれか。" dataDxfId="109"/>
    <tableColumn id="111" name="点数 - テレワーク方式の選択において、「業務データを端末に残さない」ことを重視する場合に適切な方式はどれか。" dataDxfId="110"/>
    <tableColumn id="112" name="社内データを端末にダウンロードして作業を行うテレワーク方式における最大のリスクはどれか。" dataDxfId="111"/>
    <tableColumn id="113" name="フィードバック - 社内データを端末にダウンロードして作業を行うテレワーク方式における最大のリスクはどれか。" dataDxfId="112"/>
    <tableColumn id="114" name="点数 - 社内データを端末にダウンロードして作業を行うテレワーク方式における最大のリスクはどれか。" dataDxfId="113"/>
    <tableColumn id="115" name="VPNを利用した通信経路で暗号化されていない場合に懸念されるリスクはどれか。" dataDxfId="114"/>
    <tableColumn id="116" name="フィードバック - VPNを利用した通信経路で暗号化されていない場合に懸念されるリスクはどれか。" dataDxfId="115"/>
    <tableColumn id="117" name="点数 - VPNを利用した通信経路で暗号化されていない場合に懸念されるリスクはどれか。" dataDxfId="116"/>
    <tableColumn id="118" name="社外でテレワークを行う従業員に対して最低限実施すべき対策はどれか。" dataDxfId="117"/>
    <tableColumn id="119" name="フィードバック - 社外でテレワークを行う従業員に対して最低限実施すべき対策はどれか。" dataDxfId="118"/>
    <tableColumn id="120" name="点数 - 社外でテレワークを行う従業員に対して最低限実施すべき対策はどれか。" dataDxfId="119"/>
    <tableColumn id="121" name="自宅以外でのテレワーク環境における物理的なセキュリティ対策として適切なものはどれか。" dataDxfId="120"/>
    <tableColumn id="122" name="フィードバック - 自宅以外でのテレワーク環境における物理的なセキュリティ対策として適切なものはどれか。" dataDxfId="121"/>
    <tableColumn id="123" name="点数 - 自宅以外でのテレワーク環境における物理的なセキュリティ対策として適切なものはどれか。" dataDxfId="122"/>
    <tableColumn id="124" name="ゼロトラストという考え方が注目されるようになった背景として最も適切なのはどれか。" dataDxfId="123"/>
    <tableColumn id="125" name="フィードバック - ゼロトラストという考え方が注目されるようになった背景として最も適切なのはどれか。" dataDxfId="124"/>
    <tableColumn id="126" name="点数 - ゼロトラストという考え方が注目されるようになった背景として最も適切なのはどれか。" dataDxfId="125"/>
    <tableColumn id="127" name="従来型の「境界防御モデル」における根本的なセキュリティ上の課題はどれか。" dataDxfId="126"/>
    <tableColumn id="128" name="フィードバック - 従来型の「境界防御モデル」における根本的なセキュリティ上の課題はどれか。" dataDxfId="127"/>
    <tableColumn id="129" name="点数 - 従来型の「境界防御モデル」における根本的なセキュリティ上の課題はどれか。" dataDxfId="128"/>
    <tableColumn id="130" name="ゼロトラストと従来の境界防御との最も本質的な違いはどれか。" dataDxfId="129"/>
    <tableColumn id="131" name="フィードバック - ゼロトラストと従来の境界防御との最も本質的な違いはどれか。" dataDxfId="130"/>
    <tableColumn id="132" name="点数 - ゼロトラストと従来の境界防御との最も本質的な違いはどれか。" dataDxfId="131"/>
    <tableColumn id="133" name="ゼロトラストにおける設計指針として最も適切なものはどれか。" dataDxfId="132"/>
    <tableColumn id="134" name="フィードバック - ゼロトラストにおける設計指針として最も適切なものはどれか。" dataDxfId="133"/>
    <tableColumn id="135" name="点数 - ゼロトラストにおける設計指針として最も適切なものはどれか。" dataDxfId="134"/>
    <tableColumn id="136" name="サイバーハイジーン（衛生管理）という概念の主な目的はどれか。" dataDxfId="135"/>
    <tableColumn id="137" name="フィードバック - サイバーハイジーン（衛生管理）という概念の主な目的はどれか。" dataDxfId="136"/>
    <tableColumn id="138" name="点数 - サイバーハイジーン（衛生管理）という概念の主な目的はどれか。" dataDxfId="137"/>
    <tableColumn id="139" name="ゼロトラストにおける「動的ポリシー制御」の特徴として最も適切なのはどれか。" dataDxfId="138"/>
    <tableColumn id="140" name="フィードバック - ゼロトラストにおける「動的ポリシー制御」の特徴として最も適切なのはどれか。" dataDxfId="139"/>
    <tableColumn id="141" name="点数 - ゼロトラストにおける「動的ポリシー制御」の特徴として最も適切なのはどれか。" dataDxfId="140"/>
    <tableColumn id="142" name="アクセス権限を動的に見直すべきタイミングとして、最も適切なものはどれか。" dataDxfId="141"/>
    <tableColumn id="143" name="フィードバック - アクセス権限を動的に見直すべきタイミングとして、最も適切なものはどれか。" dataDxfId="142"/>
    <tableColumn id="144" name="点数 - アクセス権限を動的に見直すべきタイミングとして、最も適切なものはどれか。" dataDxfId="143"/>
    <tableColumn id="145" name="ゼロトラスト導入時に「ポリシーが肥大化する」ことで発生するリスクとして最も適切なのはどれか。" dataDxfId="144"/>
    <tableColumn id="146" name="フィードバック - ゼロトラスト導入時に「ポリシーが肥大化する」ことで発生するリスクとして最も適切なのはどれか。" dataDxfId="145"/>
    <tableColumn id="147" name="点数 - ゼロトラスト導入時に「ポリシーが肥大化する」ことで発生するリスクとして最も適切なのはどれか。" dataDxfId="146"/>
    <tableColumn id="148" name="ゼロトラストを導入する際の計画段階で、最初に実施すべきこととして適切なのはどれか。" dataDxfId="147"/>
    <tableColumn id="149" name="フィードバック - ゼロトラストを導入する際の計画段階で、最初に実施すべきこととして適切なのはどれか。" dataDxfId="148"/>
    <tableColumn id="150" name="点数 - ゼロトラストを導入する際の計画段階で、最初に実施すべきこととして適切なのはどれか。" dataDxfId="149"/>
    <tableColumn id="151" name="ゼロトラストを成功させるための進め方として、最も適切なのはどれか。" dataDxfId="150"/>
    <tableColumn id="152" name="フィードバック - ゼロトラストを成功させるための進め方として、最も適切なのはどれか。" dataDxfId="151"/>
    <tableColumn id="153" name="点数 - ゼロトラストを成功させるための進め方として、最も適切なのはどれか。" dataDxfId="152"/>
    <tableColumn id="154" name="ゼロトラストの考え方に沿ってセキュリティの設計方針を見直す際、適切な方向性はどれか。" dataDxfId="153"/>
    <tableColumn id="155" name="フィードバック - ゼロトラストの考え方に沿ってセキュリティの設計方針を見直す際、適切な方向性はどれか。" dataDxfId="154"/>
    <tableColumn id="156" name="点数 - ゼロトラストの考え方に沿ってセキュリティの設計方針を見直す際、適切な方向性はどれか。" dataDxfId="155"/>
    <tableColumn id="157" name="テレワークの拡大を契機にゼロトラストを導入した企業で得られた代表的な成果として、適切なのはどれか。" dataDxfId="156"/>
    <tableColumn id="158" name="フィードバック - テレワークの拡大を契機にゼロトラストを導入した企業で得られた代表的な成果として、適切なのはどれか。" dataDxfId="157"/>
    <tableColumn id="159" name="点数 - テレワークの拡大を契機にゼロトラストを導入した企業で得られた代表的な成果として、適切なのはどれか。" dataDxfId="158"/>
    <tableColumn id="160" name="クラウドサービスの利点として適切なものはどれか。" dataDxfId="159"/>
    <tableColumn id="161" name="フィードバック - クラウドサービスの利点として適切なものはどれか。" dataDxfId="160"/>
    <tableColumn id="162" name="点数 - クラウドサービスの利点として適切なものはどれか。" dataDxfId="161"/>
    <tableColumn id="163" name="クラウド利用時の責任共有モデルで「利用者側の責任」とされるものはどれか。" dataDxfId="162"/>
    <tableColumn id="164" name="フィードバック - クラウド利用時の責任共有モデルで「利用者側の責任」とされるものはどれか。" dataDxfId="163"/>
    <tableColumn id="165" name="点数 - クラウド利用時の責任共有モデルで「利用者側の責任」とされるものはどれか。" dataDxfId="164"/>
    <tableColumn id="166" name="SaaSに分類されるサービスの特徴として最も適切なのはどれか。" dataDxfId="165"/>
    <tableColumn id="167" name="フィードバック - SaaSに分類されるサービスの特徴として最も適切なのはどれか。" dataDxfId="166"/>
    <tableColumn id="168" name="点数 - SaaSに分類されるサービスの特徴として最も適切なのはどれか。" dataDxfId="167"/>
    <tableColumn id="169" name="IaaSの導入を検討する場面として適切なのはどれか。" dataDxfId="168"/>
    <tableColumn id="170" name="フィードバック - IaaSの導入を検討する場面として適切なのはどれか。" dataDxfId="169"/>
    <tableColumn id="171" name="点数 - IaaSの導入を検討する場面として適切なのはどれか。" dataDxfId="170"/>
    <tableColumn id="172" name="クラウド利用におけるセキュリティリスクとして最も適切なのはどれか。" dataDxfId="171"/>
    <tableColumn id="173" name="フィードバック - クラウド利用におけるセキュリティリスクとして最も適切なのはどれか。" dataDxfId="172"/>
    <tableColumn id="174" name="点数 - クラウド利用におけるセキュリティリスクとして最も適切なのはどれか。" dataDxfId="173"/>
    <tableColumn id="175" name="クラウドストレージを業務で利用する際に、情報漏えいリスクの観点から最も注意すべき点はどれか。" dataDxfId="174"/>
    <tableColumn id="176" name="フィードバック - クラウドストレージを業務で利用する際に、情報漏えいリスクの観点から最も注意すべき点はどれか。" dataDxfId="175"/>
    <tableColumn id="177" name="点数 - クラウドストレージを業務で利用する際に、情報漏えいリスクの観点から最も注意すべき点はどれか。" dataDxfId="176"/>
    <tableColumn id="178" name="クラウドサービスを比較・選定する際に、特に重視すべき観点はどれか。" dataDxfId="177"/>
    <tableColumn id="179" name="フィードバック - クラウドサービスを比較・選定する際に、特に重視すべき観点はどれか。" dataDxfId="178"/>
    <tableColumn id="180" name="点数 - クラウドサービスを比較・選定する際に、特に重視すべき観点はどれか。" dataDxfId="179"/>
    <tableColumn id="181" name="クラウドサービス導入後の運用で、安定運用や改善のために重要な取り組みはどれか。" dataDxfId="180"/>
    <tableColumn id="182" name="フィードバック - クラウドサービス導入後の運用で、安定運用や改善のために重要な取り組みはどれか。" dataDxfId="181"/>
    <tableColumn id="183" name="点数 - クラウドサービス導入後の運用で、安定運用や改善のために重要な取り組みはどれか。" dataDxfId="182"/>
    <tableColumn id="184" name="シャドーITがリスクとされる理由として最も適切なものはどれか。" dataDxfId="183"/>
    <tableColumn id="185" name="フィードバック - シャドーITがリスクとされる理由として最も適切なものはどれか。" dataDxfId="184"/>
    <tableColumn id="186" name="点数 - シャドーITがリスクとされる理由として最も適切なものはどれか。" dataDxfId="185"/>
    <tableColumn id="187" name="クラウドサービス契約時に確認すべきSLA（サービスレベル合意）の項目として最も適切なものはどれか。" dataDxfId="186"/>
    <tableColumn id="188" name="フィードバック - クラウドサービス契約時に確認すべきSLA（サービスレベル合意）の項目として最も適切なものはどれか。" dataDxfId="187"/>
    <tableColumn id="189" name="点数 - クラウドサービス契約時に確認すべきSLA（サービスレベル合意）の項目として最も適切なものはどれか。" dataDxfId="188"/>
    <tableColumn id="190" name="クラウドにおけるデータ保存場所の取り扱いとして正しいものはどれか。" dataDxfId="189"/>
    <tableColumn id="191" name="フィードバック - クラウドにおけるデータ保存場所の取り扱いとして正しいものはどれか。" dataDxfId="190"/>
    <tableColumn id="192" name="点数 - クラウドにおけるデータ保存場所の取り扱いとして正しいものはどれか。" dataDxfId="191"/>
    <tableColumn id="193" name="CSPM（Cloud Security Posture Management）ツールの主な役割として最も適切なのはどれか。" dataDxfId="192"/>
    <tableColumn id="194" name="フィードバック - CSPM（Cloud Security Posture Management）ツールの主な役割として最も適切なのはどれか。" dataDxfId="193"/>
    <tableColumn id="195" name="点数 - CSPM（Cloud Security Posture Management）ツールの主な役割として最も適切なのはどれか。" dataDxfId="19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GM54"/>
  <sheetViews>
    <sheetView topLeftCell="L1" workbookViewId="0">
      <selection activeCell="E7" sqref="E7"/>
    </sheetView>
  </sheetViews>
  <sheetFormatPr defaultColWidth="9" defaultRowHeight="13.5"/>
  <cols>
    <col min="1" max="195" width="33.1416666666667" customWidth="1"/>
  </cols>
  <sheetData>
    <row r="1" ht="15" spans="1:195">
      <c r="A1" s="62" t="s">
        <v>0</v>
      </c>
      <c r="B1" s="63" t="s">
        <v>1</v>
      </c>
      <c r="C1" s="63" t="s">
        <v>2</v>
      </c>
      <c r="D1" s="63" t="s">
        <v>3</v>
      </c>
      <c r="E1" s="63" t="s">
        <v>4</v>
      </c>
      <c r="F1" s="63" t="s">
        <v>5</v>
      </c>
      <c r="G1" s="63" t="s">
        <v>6</v>
      </c>
      <c r="H1" s="63" t="s">
        <v>7</v>
      </c>
      <c r="I1" s="63" t="s">
        <v>8</v>
      </c>
      <c r="J1" s="63" t="s">
        <v>9</v>
      </c>
      <c r="K1" s="63" t="s">
        <v>10</v>
      </c>
      <c r="L1" s="63" t="s">
        <v>11</v>
      </c>
      <c r="M1" s="63" t="s">
        <v>12</v>
      </c>
      <c r="N1" s="63" t="s">
        <v>13</v>
      </c>
      <c r="O1" s="63" t="s">
        <v>14</v>
      </c>
      <c r="P1" s="63" t="s">
        <v>15</v>
      </c>
      <c r="Q1" s="63" t="s">
        <v>16</v>
      </c>
      <c r="R1" s="63" t="s">
        <v>17</v>
      </c>
      <c r="S1" s="63" t="s">
        <v>18</v>
      </c>
      <c r="T1" s="63" t="s">
        <v>19</v>
      </c>
      <c r="U1" s="63" t="s">
        <v>20</v>
      </c>
      <c r="V1" s="63" t="s">
        <v>21</v>
      </c>
      <c r="W1" s="63" t="s">
        <v>22</v>
      </c>
      <c r="X1" s="63" t="s">
        <v>23</v>
      </c>
      <c r="Y1" s="63" t="s">
        <v>24</v>
      </c>
      <c r="Z1" s="63" t="s">
        <v>25</v>
      </c>
      <c r="AA1" s="63" t="s">
        <v>26</v>
      </c>
      <c r="AB1" s="63" t="s">
        <v>27</v>
      </c>
      <c r="AC1" s="63" t="s">
        <v>28</v>
      </c>
      <c r="AD1" s="63" t="s">
        <v>29</v>
      </c>
      <c r="AE1" s="63" t="s">
        <v>30</v>
      </c>
      <c r="AF1" s="63" t="s">
        <v>31</v>
      </c>
      <c r="AG1" s="63" t="s">
        <v>32</v>
      </c>
      <c r="AH1" s="63" t="s">
        <v>33</v>
      </c>
      <c r="AI1" s="63" t="s">
        <v>34</v>
      </c>
      <c r="AJ1" s="63" t="s">
        <v>35</v>
      </c>
      <c r="AK1" s="63" t="s">
        <v>36</v>
      </c>
      <c r="AL1" s="63" t="s">
        <v>37</v>
      </c>
      <c r="AM1" s="63" t="s">
        <v>38</v>
      </c>
      <c r="AN1" s="63" t="s">
        <v>39</v>
      </c>
      <c r="AO1" s="63" t="s">
        <v>40</v>
      </c>
      <c r="AP1" s="63" t="s">
        <v>41</v>
      </c>
      <c r="AQ1" s="63" t="s">
        <v>42</v>
      </c>
      <c r="AR1" s="63" t="s">
        <v>43</v>
      </c>
      <c r="AS1" s="63" t="s">
        <v>44</v>
      </c>
      <c r="AT1" s="63" t="s">
        <v>45</v>
      </c>
      <c r="AU1" s="63" t="s">
        <v>46</v>
      </c>
      <c r="AV1" s="63" t="s">
        <v>47</v>
      </c>
      <c r="AW1" s="63" t="s">
        <v>48</v>
      </c>
      <c r="AX1" s="63" t="s">
        <v>49</v>
      </c>
      <c r="AY1" s="63" t="s">
        <v>50</v>
      </c>
      <c r="AZ1" s="63" t="s">
        <v>51</v>
      </c>
      <c r="BA1" s="63" t="s">
        <v>52</v>
      </c>
      <c r="BB1" s="63" t="s">
        <v>53</v>
      </c>
      <c r="BC1" s="63" t="s">
        <v>54</v>
      </c>
      <c r="BD1" s="63" t="s">
        <v>55</v>
      </c>
      <c r="BE1" s="63" t="s">
        <v>56</v>
      </c>
      <c r="BF1" s="63" t="s">
        <v>57</v>
      </c>
      <c r="BG1" s="63" t="s">
        <v>58</v>
      </c>
      <c r="BH1" s="63" t="s">
        <v>59</v>
      </c>
      <c r="BI1" s="63" t="s">
        <v>60</v>
      </c>
      <c r="BJ1" s="63" t="s">
        <v>61</v>
      </c>
      <c r="BK1" s="63" t="s">
        <v>62</v>
      </c>
      <c r="BL1" s="63" t="s">
        <v>63</v>
      </c>
      <c r="BM1" s="63" t="s">
        <v>64</v>
      </c>
      <c r="BN1" s="63" t="s">
        <v>65</v>
      </c>
      <c r="BO1" s="63" t="s">
        <v>66</v>
      </c>
      <c r="BP1" s="63" t="s">
        <v>67</v>
      </c>
      <c r="BQ1" s="63" t="s">
        <v>68</v>
      </c>
      <c r="BR1" s="63" t="s">
        <v>69</v>
      </c>
      <c r="BS1" s="63" t="s">
        <v>70</v>
      </c>
      <c r="BT1" s="63" t="s">
        <v>71</v>
      </c>
      <c r="BU1" s="63" t="s">
        <v>72</v>
      </c>
      <c r="BV1" s="63" t="s">
        <v>73</v>
      </c>
      <c r="BW1" s="63" t="s">
        <v>74</v>
      </c>
      <c r="BX1" s="63" t="s">
        <v>75</v>
      </c>
      <c r="BY1" s="63" t="s">
        <v>76</v>
      </c>
      <c r="BZ1" s="63" t="s">
        <v>77</v>
      </c>
      <c r="CA1" s="63" t="s">
        <v>78</v>
      </c>
      <c r="CB1" s="63" t="s">
        <v>79</v>
      </c>
      <c r="CC1" s="63" t="s">
        <v>80</v>
      </c>
      <c r="CD1" s="63" t="s">
        <v>81</v>
      </c>
      <c r="CE1" s="63" t="s">
        <v>82</v>
      </c>
      <c r="CF1" s="63" t="s">
        <v>83</v>
      </c>
      <c r="CG1" s="63" t="s">
        <v>84</v>
      </c>
      <c r="CH1" s="63" t="s">
        <v>85</v>
      </c>
      <c r="CI1" s="63" t="s">
        <v>86</v>
      </c>
      <c r="CJ1" s="63" t="s">
        <v>87</v>
      </c>
      <c r="CK1" s="63" t="s">
        <v>88</v>
      </c>
      <c r="CL1" s="63" t="s">
        <v>89</v>
      </c>
      <c r="CM1" s="63" t="s">
        <v>90</v>
      </c>
      <c r="CN1" s="63" t="s">
        <v>91</v>
      </c>
      <c r="CO1" s="63" t="s">
        <v>92</v>
      </c>
      <c r="CP1" s="63" t="s">
        <v>93</v>
      </c>
      <c r="CQ1" s="63" t="s">
        <v>94</v>
      </c>
      <c r="CR1" s="63" t="s">
        <v>95</v>
      </c>
      <c r="CS1" s="63" t="s">
        <v>96</v>
      </c>
      <c r="CT1" s="63" t="s">
        <v>97</v>
      </c>
      <c r="CU1" s="63" t="s">
        <v>98</v>
      </c>
      <c r="CV1" s="63" t="s">
        <v>99</v>
      </c>
      <c r="CW1" s="63" t="s">
        <v>100</v>
      </c>
      <c r="CX1" s="63" t="s">
        <v>101</v>
      </c>
      <c r="CY1" s="63" t="s">
        <v>102</v>
      </c>
      <c r="CZ1" s="63" t="s">
        <v>103</v>
      </c>
      <c r="DA1" s="63" t="s">
        <v>104</v>
      </c>
      <c r="DB1" s="63" t="s">
        <v>105</v>
      </c>
      <c r="DC1" s="63" t="s">
        <v>106</v>
      </c>
      <c r="DD1" s="63" t="s">
        <v>107</v>
      </c>
      <c r="DE1" s="63" t="s">
        <v>108</v>
      </c>
      <c r="DF1" s="63" t="s">
        <v>109</v>
      </c>
      <c r="DG1" s="63" t="s">
        <v>110</v>
      </c>
      <c r="DH1" s="63" t="s">
        <v>111</v>
      </c>
      <c r="DI1" s="63" t="s">
        <v>112</v>
      </c>
      <c r="DJ1" s="63" t="s">
        <v>113</v>
      </c>
      <c r="DK1" s="63" t="s">
        <v>114</v>
      </c>
      <c r="DL1" s="63" t="s">
        <v>115</v>
      </c>
      <c r="DM1" s="63" t="s">
        <v>116</v>
      </c>
      <c r="DN1" s="63" t="s">
        <v>117</v>
      </c>
      <c r="DO1" s="63" t="s">
        <v>118</v>
      </c>
      <c r="DP1" s="63" t="s">
        <v>119</v>
      </c>
      <c r="DQ1" s="63" t="s">
        <v>120</v>
      </c>
      <c r="DR1" s="63" t="s">
        <v>121</v>
      </c>
      <c r="DS1" s="63" t="s">
        <v>122</v>
      </c>
      <c r="DT1" s="63" t="s">
        <v>123</v>
      </c>
      <c r="DU1" s="63" t="s">
        <v>124</v>
      </c>
      <c r="DV1" s="63" t="s">
        <v>125</v>
      </c>
      <c r="DW1" s="63" t="s">
        <v>126</v>
      </c>
      <c r="DX1" s="63" t="s">
        <v>127</v>
      </c>
      <c r="DY1" s="63" t="s">
        <v>128</v>
      </c>
      <c r="DZ1" s="63" t="s">
        <v>129</v>
      </c>
      <c r="EA1" s="63" t="s">
        <v>130</v>
      </c>
      <c r="EB1" s="63" t="s">
        <v>131</v>
      </c>
      <c r="EC1" s="63" t="s">
        <v>132</v>
      </c>
      <c r="ED1" s="63" t="s">
        <v>133</v>
      </c>
      <c r="EE1" s="63" t="s">
        <v>134</v>
      </c>
      <c r="EF1" s="63" t="s">
        <v>135</v>
      </c>
      <c r="EG1" s="63" t="s">
        <v>136</v>
      </c>
      <c r="EH1" s="63" t="s">
        <v>137</v>
      </c>
      <c r="EI1" s="63" t="s">
        <v>138</v>
      </c>
      <c r="EJ1" s="63" t="s">
        <v>139</v>
      </c>
      <c r="EK1" s="63" t="s">
        <v>140</v>
      </c>
      <c r="EL1" s="63" t="s">
        <v>141</v>
      </c>
      <c r="EM1" s="63" t="s">
        <v>142</v>
      </c>
      <c r="EN1" s="63" t="s">
        <v>143</v>
      </c>
      <c r="EO1" s="63" t="s">
        <v>144</v>
      </c>
      <c r="EP1" s="63" t="s">
        <v>145</v>
      </c>
      <c r="EQ1" s="63" t="s">
        <v>146</v>
      </c>
      <c r="ER1" s="63" t="s">
        <v>147</v>
      </c>
      <c r="ES1" s="63" t="s">
        <v>148</v>
      </c>
      <c r="ET1" s="63" t="s">
        <v>149</v>
      </c>
      <c r="EU1" s="63" t="s">
        <v>150</v>
      </c>
      <c r="EV1" s="63" t="s">
        <v>151</v>
      </c>
      <c r="EW1" s="63" t="s">
        <v>152</v>
      </c>
      <c r="EX1" s="63" t="s">
        <v>153</v>
      </c>
      <c r="EY1" s="63" t="s">
        <v>154</v>
      </c>
      <c r="EZ1" s="63" t="s">
        <v>155</v>
      </c>
      <c r="FA1" s="63" t="s">
        <v>156</v>
      </c>
      <c r="FB1" s="63" t="s">
        <v>157</v>
      </c>
      <c r="FC1" s="63" t="s">
        <v>158</v>
      </c>
      <c r="FD1" s="63" t="s">
        <v>159</v>
      </c>
      <c r="FE1" s="63" t="s">
        <v>160</v>
      </c>
      <c r="FF1" s="63" t="s">
        <v>161</v>
      </c>
      <c r="FG1" s="63" t="s">
        <v>162</v>
      </c>
      <c r="FH1" s="63" t="s">
        <v>163</v>
      </c>
      <c r="FI1" s="63" t="s">
        <v>164</v>
      </c>
      <c r="FJ1" s="63" t="s">
        <v>165</v>
      </c>
      <c r="FK1" s="63" t="s">
        <v>166</v>
      </c>
      <c r="FL1" s="63" t="s">
        <v>167</v>
      </c>
      <c r="FM1" s="63" t="s">
        <v>168</v>
      </c>
      <c r="FN1" s="63" t="s">
        <v>169</v>
      </c>
      <c r="FO1" s="63" t="s">
        <v>170</v>
      </c>
      <c r="FP1" s="63" t="s">
        <v>171</v>
      </c>
      <c r="FQ1" s="63" t="s">
        <v>172</v>
      </c>
      <c r="FR1" s="63" t="s">
        <v>173</v>
      </c>
      <c r="FS1" s="63" t="s">
        <v>174</v>
      </c>
      <c r="FT1" s="63" t="s">
        <v>175</v>
      </c>
      <c r="FU1" s="63" t="s">
        <v>176</v>
      </c>
      <c r="FV1" s="63" t="s">
        <v>177</v>
      </c>
      <c r="FW1" s="63" t="s">
        <v>178</v>
      </c>
      <c r="FX1" s="63" t="s">
        <v>179</v>
      </c>
      <c r="FY1" s="63" t="s">
        <v>180</v>
      </c>
      <c r="FZ1" s="63" t="s">
        <v>181</v>
      </c>
      <c r="GA1" s="63" t="s">
        <v>182</v>
      </c>
      <c r="GB1" s="63" t="s">
        <v>183</v>
      </c>
      <c r="GC1" s="63" t="s">
        <v>184</v>
      </c>
      <c r="GD1" s="63" t="s">
        <v>185</v>
      </c>
      <c r="GE1" s="63" t="s">
        <v>186</v>
      </c>
      <c r="GF1" s="63" t="s">
        <v>187</v>
      </c>
      <c r="GG1" s="63" t="s">
        <v>188</v>
      </c>
      <c r="GH1" s="63" t="s">
        <v>189</v>
      </c>
      <c r="GI1" s="63" t="s">
        <v>190</v>
      </c>
      <c r="GJ1" s="63" t="s">
        <v>191</v>
      </c>
      <c r="GK1" s="63" t="s">
        <v>192</v>
      </c>
      <c r="GL1" s="63" t="s">
        <v>193</v>
      </c>
      <c r="GM1" s="63" t="s">
        <v>194</v>
      </c>
    </row>
    <row r="2" ht="15" spans="1:195">
      <c r="A2" s="64">
        <v>1</v>
      </c>
      <c r="B2" s="65" t="s">
        <v>195</v>
      </c>
      <c r="C2" s="65" t="s">
        <v>196</v>
      </c>
      <c r="D2" s="65" t="s">
        <v>197</v>
      </c>
      <c r="E2" s="65"/>
      <c r="F2" s="65">
        <v>55</v>
      </c>
      <c r="G2" s="65"/>
      <c r="H2" s="65"/>
      <c r="I2" s="65"/>
      <c r="J2" s="65"/>
      <c r="K2" s="65"/>
      <c r="L2" s="66" t="s">
        <v>198</v>
      </c>
      <c r="M2" s="65" t="s">
        <v>199</v>
      </c>
      <c r="N2" s="65"/>
      <c r="O2" s="65"/>
      <c r="P2" s="65" t="s">
        <v>200</v>
      </c>
      <c r="Q2" s="65">
        <v>0</v>
      </c>
      <c r="R2" s="65"/>
      <c r="S2" s="65" t="s">
        <v>201</v>
      </c>
      <c r="T2" s="65">
        <v>1</v>
      </c>
      <c r="U2" s="65"/>
      <c r="V2" s="65" t="s">
        <v>202</v>
      </c>
      <c r="W2" s="65">
        <v>1</v>
      </c>
      <c r="X2" s="65"/>
      <c r="Y2" s="65" t="s">
        <v>203</v>
      </c>
      <c r="Z2" s="65">
        <v>0</v>
      </c>
      <c r="AA2" s="65"/>
      <c r="AB2" s="65" t="s">
        <v>204</v>
      </c>
      <c r="AC2" s="65"/>
      <c r="AD2" s="65">
        <v>0</v>
      </c>
      <c r="AE2" s="65" t="s">
        <v>205</v>
      </c>
      <c r="AF2" s="65"/>
      <c r="AG2" s="65">
        <v>1</v>
      </c>
      <c r="AH2" s="65" t="s">
        <v>206</v>
      </c>
      <c r="AI2" s="65"/>
      <c r="AJ2" s="65">
        <v>1</v>
      </c>
      <c r="AK2" s="65" t="s">
        <v>207</v>
      </c>
      <c r="AL2" s="65"/>
      <c r="AM2" s="65">
        <v>1</v>
      </c>
      <c r="AN2" s="65" t="s">
        <v>208</v>
      </c>
      <c r="AO2" s="65"/>
      <c r="AP2" s="65">
        <v>1</v>
      </c>
      <c r="AQ2" s="65" t="s">
        <v>209</v>
      </c>
      <c r="AR2" s="65"/>
      <c r="AS2" s="65">
        <v>1</v>
      </c>
      <c r="AT2" s="65" t="s">
        <v>210</v>
      </c>
      <c r="AU2" s="65"/>
      <c r="AV2" s="65">
        <v>1</v>
      </c>
      <c r="AW2" s="65" t="s">
        <v>211</v>
      </c>
      <c r="AX2" s="65"/>
      <c r="AY2" s="65">
        <v>1</v>
      </c>
      <c r="AZ2" s="65" t="s">
        <v>212</v>
      </c>
      <c r="BA2" s="65"/>
      <c r="BB2" s="65">
        <v>1</v>
      </c>
      <c r="BC2" s="65" t="s">
        <v>213</v>
      </c>
      <c r="BD2" s="65"/>
      <c r="BE2" s="65">
        <v>1</v>
      </c>
      <c r="BF2" s="65" t="s">
        <v>214</v>
      </c>
      <c r="BG2" s="65"/>
      <c r="BH2" s="65">
        <v>1</v>
      </c>
      <c r="BI2" s="65" t="s">
        <v>215</v>
      </c>
      <c r="BJ2" s="65"/>
      <c r="BK2" s="65">
        <v>1</v>
      </c>
      <c r="BL2" s="65" t="s">
        <v>216</v>
      </c>
      <c r="BM2" s="65"/>
      <c r="BN2" s="65">
        <v>1</v>
      </c>
      <c r="BO2" s="65" t="s">
        <v>217</v>
      </c>
      <c r="BP2" s="65"/>
      <c r="BQ2" s="65">
        <v>1</v>
      </c>
      <c r="BR2" s="65" t="s">
        <v>218</v>
      </c>
      <c r="BS2" s="65"/>
      <c r="BT2" s="65">
        <v>1</v>
      </c>
      <c r="BU2" s="65" t="s">
        <v>219</v>
      </c>
      <c r="BV2" s="65">
        <v>1</v>
      </c>
      <c r="BW2" s="65"/>
      <c r="BX2" s="65" t="s">
        <v>220</v>
      </c>
      <c r="BY2" s="65">
        <v>1</v>
      </c>
      <c r="BZ2" s="65"/>
      <c r="CA2" s="65" t="s">
        <v>221</v>
      </c>
      <c r="CB2" s="65">
        <v>1</v>
      </c>
      <c r="CC2" s="65"/>
      <c r="CD2" s="65" t="s">
        <v>222</v>
      </c>
      <c r="CE2" s="65">
        <v>0</v>
      </c>
      <c r="CF2" s="65"/>
      <c r="CG2" s="65" t="s">
        <v>223</v>
      </c>
      <c r="CH2" s="65">
        <v>1</v>
      </c>
      <c r="CI2" s="65"/>
      <c r="CJ2" s="65" t="s">
        <v>224</v>
      </c>
      <c r="CK2" s="65"/>
      <c r="CL2" s="65">
        <v>1</v>
      </c>
      <c r="CM2" s="65" t="s">
        <v>225</v>
      </c>
      <c r="CN2" s="65"/>
      <c r="CO2" s="65">
        <v>1</v>
      </c>
      <c r="CP2" s="65" t="s">
        <v>226</v>
      </c>
      <c r="CQ2" s="65"/>
      <c r="CR2" s="65">
        <v>1</v>
      </c>
      <c r="CS2" s="65" t="s">
        <v>227</v>
      </c>
      <c r="CT2" s="65"/>
      <c r="CU2" s="65">
        <v>1</v>
      </c>
      <c r="CV2" s="65" t="s">
        <v>228</v>
      </c>
      <c r="CW2" s="65"/>
      <c r="CX2" s="65">
        <v>1</v>
      </c>
      <c r="CY2" s="65" t="s">
        <v>229</v>
      </c>
      <c r="CZ2" s="65"/>
      <c r="DA2" s="65">
        <v>1</v>
      </c>
      <c r="DB2" s="65" t="s">
        <v>230</v>
      </c>
      <c r="DC2" s="65"/>
      <c r="DD2" s="65">
        <v>1</v>
      </c>
      <c r="DE2" s="65" t="s">
        <v>231</v>
      </c>
      <c r="DF2" s="65"/>
      <c r="DG2" s="65">
        <v>1</v>
      </c>
      <c r="DH2" s="65" t="s">
        <v>232</v>
      </c>
      <c r="DI2" s="65"/>
      <c r="DJ2" s="65">
        <v>1</v>
      </c>
      <c r="DK2" s="65" t="s">
        <v>233</v>
      </c>
      <c r="DL2" s="65"/>
      <c r="DM2" s="65">
        <v>1</v>
      </c>
      <c r="DN2" s="65" t="s">
        <v>234</v>
      </c>
      <c r="DO2" s="65"/>
      <c r="DP2" s="65">
        <v>1</v>
      </c>
      <c r="DQ2" s="65" t="s">
        <v>235</v>
      </c>
      <c r="DR2" s="65"/>
      <c r="DS2" s="65">
        <v>1</v>
      </c>
      <c r="DT2" s="65" t="s">
        <v>236</v>
      </c>
      <c r="DU2" s="65"/>
      <c r="DV2" s="65">
        <v>1</v>
      </c>
      <c r="DW2" s="65" t="s">
        <v>237</v>
      </c>
      <c r="DX2" s="65"/>
      <c r="DY2" s="65">
        <v>1</v>
      </c>
      <c r="DZ2" s="65" t="s">
        <v>238</v>
      </c>
      <c r="EA2" s="65"/>
      <c r="EB2" s="65">
        <v>1</v>
      </c>
      <c r="EC2" s="65" t="s">
        <v>239</v>
      </c>
      <c r="ED2" s="65"/>
      <c r="EE2" s="65">
        <v>1</v>
      </c>
      <c r="EF2" s="65" t="s">
        <v>240</v>
      </c>
      <c r="EG2" s="65"/>
      <c r="EH2" s="65">
        <v>1</v>
      </c>
      <c r="EI2" s="65" t="s">
        <v>241</v>
      </c>
      <c r="EJ2" s="65"/>
      <c r="EK2" s="65">
        <v>1</v>
      </c>
      <c r="EL2" s="65" t="s">
        <v>242</v>
      </c>
      <c r="EM2" s="65"/>
      <c r="EN2" s="65">
        <v>1</v>
      </c>
      <c r="EO2" s="65" t="s">
        <v>243</v>
      </c>
      <c r="EP2" s="65"/>
      <c r="EQ2" s="65">
        <v>1</v>
      </c>
      <c r="ER2" s="65" t="s">
        <v>244</v>
      </c>
      <c r="ES2" s="65"/>
      <c r="ET2" s="65">
        <v>1</v>
      </c>
      <c r="EU2" s="65" t="s">
        <v>245</v>
      </c>
      <c r="EV2" s="65"/>
      <c r="EW2" s="65">
        <v>1</v>
      </c>
      <c r="EX2" s="65" t="s">
        <v>246</v>
      </c>
      <c r="EY2" s="65"/>
      <c r="EZ2" s="65">
        <v>1</v>
      </c>
      <c r="FA2" s="65" t="s">
        <v>247</v>
      </c>
      <c r="FB2" s="65"/>
      <c r="FC2" s="65">
        <v>1</v>
      </c>
      <c r="FD2" s="65" t="s">
        <v>248</v>
      </c>
      <c r="FE2" s="65"/>
      <c r="FF2" s="65">
        <v>1</v>
      </c>
      <c r="FG2" s="65" t="s">
        <v>249</v>
      </c>
      <c r="FH2" s="65"/>
      <c r="FI2" s="65">
        <v>1</v>
      </c>
      <c r="FJ2" s="65" t="s">
        <v>250</v>
      </c>
      <c r="FK2" s="65"/>
      <c r="FL2" s="65">
        <v>0</v>
      </c>
      <c r="FM2" s="65" t="s">
        <v>251</v>
      </c>
      <c r="FN2" s="65"/>
      <c r="FO2" s="65">
        <v>1</v>
      </c>
      <c r="FP2" s="65" t="s">
        <v>252</v>
      </c>
      <c r="FQ2" s="65"/>
      <c r="FR2" s="65">
        <v>1</v>
      </c>
      <c r="FS2" s="65" t="s">
        <v>253</v>
      </c>
      <c r="FT2" s="65"/>
      <c r="FU2" s="65">
        <v>1</v>
      </c>
      <c r="FV2" s="65" t="s">
        <v>254</v>
      </c>
      <c r="FW2" s="65"/>
      <c r="FX2" s="65">
        <v>1</v>
      </c>
      <c r="FY2" s="65" t="s">
        <v>255</v>
      </c>
      <c r="FZ2" s="65"/>
      <c r="GA2" s="65">
        <v>1</v>
      </c>
      <c r="GB2" s="65" t="s">
        <v>256</v>
      </c>
      <c r="GC2" s="65"/>
      <c r="GD2" s="65">
        <v>1</v>
      </c>
      <c r="GE2" s="65" t="s">
        <v>257</v>
      </c>
      <c r="GF2" s="65"/>
      <c r="GG2" s="65">
        <v>1</v>
      </c>
      <c r="GH2" s="65" t="s">
        <v>258</v>
      </c>
      <c r="GI2" s="65"/>
      <c r="GJ2" s="65">
        <v>1</v>
      </c>
      <c r="GK2" s="65" t="s">
        <v>259</v>
      </c>
      <c r="GL2" s="65"/>
      <c r="GM2" s="65">
        <v>1</v>
      </c>
    </row>
    <row r="3" ht="15" spans="1:195">
      <c r="A3" s="64">
        <v>2</v>
      </c>
      <c r="B3" s="65" t="s">
        <v>260</v>
      </c>
      <c r="C3" s="65" t="s">
        <v>261</v>
      </c>
      <c r="D3" s="65" t="s">
        <v>197</v>
      </c>
      <c r="E3" s="65"/>
      <c r="F3" s="65">
        <v>34</v>
      </c>
      <c r="G3" s="65"/>
      <c r="H3" s="65"/>
      <c r="I3" s="65"/>
      <c r="J3" s="65"/>
      <c r="K3" s="65"/>
      <c r="L3" s="66" t="s">
        <v>262</v>
      </c>
      <c r="M3" s="65" t="s">
        <v>263</v>
      </c>
      <c r="N3" s="65"/>
      <c r="O3" s="65"/>
      <c r="P3" s="65" t="s">
        <v>264</v>
      </c>
      <c r="Q3" s="65">
        <v>1</v>
      </c>
      <c r="R3" s="65"/>
      <c r="S3" s="65" t="s">
        <v>201</v>
      </c>
      <c r="T3" s="65">
        <v>1</v>
      </c>
      <c r="U3" s="65"/>
      <c r="V3" s="65" t="s">
        <v>202</v>
      </c>
      <c r="W3" s="65">
        <v>1</v>
      </c>
      <c r="X3" s="65"/>
      <c r="Y3" s="65" t="s">
        <v>265</v>
      </c>
      <c r="Z3" s="65">
        <v>1</v>
      </c>
      <c r="AA3" s="65"/>
      <c r="AB3" s="65" t="s">
        <v>204</v>
      </c>
      <c r="AC3" s="65"/>
      <c r="AD3" s="65">
        <v>0</v>
      </c>
      <c r="AE3" s="65" t="s">
        <v>266</v>
      </c>
      <c r="AF3" s="65"/>
      <c r="AG3" s="65">
        <v>0</v>
      </c>
      <c r="AH3" s="65" t="s">
        <v>267</v>
      </c>
      <c r="AI3" s="65"/>
      <c r="AJ3" s="65">
        <v>0</v>
      </c>
      <c r="AK3" s="65" t="s">
        <v>268</v>
      </c>
      <c r="AL3" s="65"/>
      <c r="AM3" s="65">
        <v>0</v>
      </c>
      <c r="AN3" s="65" t="s">
        <v>208</v>
      </c>
      <c r="AO3" s="65"/>
      <c r="AP3" s="65">
        <v>1</v>
      </c>
      <c r="AQ3" s="65" t="s">
        <v>209</v>
      </c>
      <c r="AR3" s="65"/>
      <c r="AS3" s="65">
        <v>1</v>
      </c>
      <c r="AT3" s="65" t="s">
        <v>210</v>
      </c>
      <c r="AU3" s="65"/>
      <c r="AV3" s="65">
        <v>1</v>
      </c>
      <c r="AW3" s="65" t="s">
        <v>269</v>
      </c>
      <c r="AX3" s="65"/>
      <c r="AY3" s="65">
        <v>0</v>
      </c>
      <c r="AZ3" s="65" t="s">
        <v>212</v>
      </c>
      <c r="BA3" s="65"/>
      <c r="BB3" s="65">
        <v>1</v>
      </c>
      <c r="BC3" s="65" t="s">
        <v>270</v>
      </c>
      <c r="BD3" s="65"/>
      <c r="BE3" s="65">
        <v>0</v>
      </c>
      <c r="BF3" s="65" t="s">
        <v>271</v>
      </c>
      <c r="BG3" s="65"/>
      <c r="BH3" s="65">
        <v>0</v>
      </c>
      <c r="BI3" s="65" t="s">
        <v>272</v>
      </c>
      <c r="BJ3" s="65"/>
      <c r="BK3" s="65">
        <v>0</v>
      </c>
      <c r="BL3" s="65" t="s">
        <v>216</v>
      </c>
      <c r="BM3" s="65"/>
      <c r="BN3" s="65">
        <v>1</v>
      </c>
      <c r="BO3" s="65" t="s">
        <v>217</v>
      </c>
      <c r="BP3" s="65"/>
      <c r="BQ3" s="65">
        <v>1</v>
      </c>
      <c r="BR3" s="65" t="s">
        <v>218</v>
      </c>
      <c r="BS3" s="65"/>
      <c r="BT3" s="65">
        <v>1</v>
      </c>
      <c r="BU3" s="65" t="s">
        <v>219</v>
      </c>
      <c r="BV3" s="65">
        <v>1</v>
      </c>
      <c r="BW3" s="65"/>
      <c r="BX3" s="65" t="s">
        <v>273</v>
      </c>
      <c r="BY3" s="65">
        <v>0</v>
      </c>
      <c r="BZ3" s="65"/>
      <c r="CA3" s="65" t="s">
        <v>274</v>
      </c>
      <c r="CB3" s="65">
        <v>0</v>
      </c>
      <c r="CC3" s="65"/>
      <c r="CD3" s="65" t="s">
        <v>275</v>
      </c>
      <c r="CE3" s="65">
        <v>1</v>
      </c>
      <c r="CF3" s="65"/>
      <c r="CG3" s="65" t="s">
        <v>223</v>
      </c>
      <c r="CH3" s="65">
        <v>1</v>
      </c>
      <c r="CI3" s="65"/>
      <c r="CJ3" s="65" t="s">
        <v>224</v>
      </c>
      <c r="CK3" s="65"/>
      <c r="CL3" s="65">
        <v>1</v>
      </c>
      <c r="CM3" s="65" t="s">
        <v>225</v>
      </c>
      <c r="CN3" s="65"/>
      <c r="CO3" s="65">
        <v>1</v>
      </c>
      <c r="CP3" s="65" t="s">
        <v>276</v>
      </c>
      <c r="CQ3" s="65"/>
      <c r="CR3" s="65">
        <v>0</v>
      </c>
      <c r="CS3" s="65" t="s">
        <v>227</v>
      </c>
      <c r="CT3" s="65"/>
      <c r="CU3" s="65">
        <v>1</v>
      </c>
      <c r="CV3" s="65" t="s">
        <v>228</v>
      </c>
      <c r="CW3" s="65"/>
      <c r="CX3" s="65">
        <v>1</v>
      </c>
      <c r="CY3" s="65" t="s">
        <v>229</v>
      </c>
      <c r="CZ3" s="65"/>
      <c r="DA3" s="65">
        <v>1</v>
      </c>
      <c r="DB3" s="65" t="s">
        <v>230</v>
      </c>
      <c r="DC3" s="65"/>
      <c r="DD3" s="65">
        <v>1</v>
      </c>
      <c r="DE3" s="65" t="s">
        <v>277</v>
      </c>
      <c r="DF3" s="65"/>
      <c r="DG3" s="65">
        <v>0</v>
      </c>
      <c r="DH3" s="65" t="s">
        <v>278</v>
      </c>
      <c r="DI3" s="65"/>
      <c r="DJ3" s="65">
        <v>0</v>
      </c>
      <c r="DK3" s="65" t="s">
        <v>233</v>
      </c>
      <c r="DL3" s="65"/>
      <c r="DM3" s="65">
        <v>1</v>
      </c>
      <c r="DN3" s="65" t="s">
        <v>234</v>
      </c>
      <c r="DO3" s="65"/>
      <c r="DP3" s="65">
        <v>1</v>
      </c>
      <c r="DQ3" s="65" t="s">
        <v>235</v>
      </c>
      <c r="DR3" s="65"/>
      <c r="DS3" s="65">
        <v>1</v>
      </c>
      <c r="DT3" s="65" t="s">
        <v>236</v>
      </c>
      <c r="DU3" s="65"/>
      <c r="DV3" s="65">
        <v>1</v>
      </c>
      <c r="DW3" s="65" t="s">
        <v>237</v>
      </c>
      <c r="DX3" s="65"/>
      <c r="DY3" s="65">
        <v>1</v>
      </c>
      <c r="DZ3" s="65" t="s">
        <v>279</v>
      </c>
      <c r="EA3" s="65"/>
      <c r="EB3" s="65">
        <v>0</v>
      </c>
      <c r="EC3" s="65" t="s">
        <v>239</v>
      </c>
      <c r="ED3" s="65"/>
      <c r="EE3" s="65">
        <v>1</v>
      </c>
      <c r="EF3" s="65" t="s">
        <v>280</v>
      </c>
      <c r="EG3" s="65"/>
      <c r="EH3" s="65">
        <v>0</v>
      </c>
      <c r="EI3" s="65" t="s">
        <v>241</v>
      </c>
      <c r="EJ3" s="65"/>
      <c r="EK3" s="65">
        <v>1</v>
      </c>
      <c r="EL3" s="65" t="s">
        <v>281</v>
      </c>
      <c r="EM3" s="65"/>
      <c r="EN3" s="65">
        <v>0</v>
      </c>
      <c r="EO3" s="65" t="s">
        <v>243</v>
      </c>
      <c r="EP3" s="65"/>
      <c r="EQ3" s="65">
        <v>1</v>
      </c>
      <c r="ER3" s="65" t="s">
        <v>282</v>
      </c>
      <c r="ES3" s="65"/>
      <c r="ET3" s="65">
        <v>0</v>
      </c>
      <c r="EU3" s="65" t="s">
        <v>245</v>
      </c>
      <c r="EV3" s="65"/>
      <c r="EW3" s="65">
        <v>1</v>
      </c>
      <c r="EX3" s="65" t="s">
        <v>283</v>
      </c>
      <c r="EY3" s="65"/>
      <c r="EZ3" s="65">
        <v>0</v>
      </c>
      <c r="FA3" s="65" t="s">
        <v>284</v>
      </c>
      <c r="FB3" s="65"/>
      <c r="FC3" s="65">
        <v>0</v>
      </c>
      <c r="FD3" s="65" t="s">
        <v>285</v>
      </c>
      <c r="FE3" s="65"/>
      <c r="FF3" s="65">
        <v>0</v>
      </c>
      <c r="FG3" s="65" t="s">
        <v>286</v>
      </c>
      <c r="FH3" s="65"/>
      <c r="FI3" s="65">
        <v>0</v>
      </c>
      <c r="FJ3" s="65" t="s">
        <v>250</v>
      </c>
      <c r="FK3" s="65"/>
      <c r="FL3" s="65">
        <v>0</v>
      </c>
      <c r="FM3" s="65" t="s">
        <v>251</v>
      </c>
      <c r="FN3" s="65"/>
      <c r="FO3" s="65">
        <v>1</v>
      </c>
      <c r="FP3" s="65" t="s">
        <v>252</v>
      </c>
      <c r="FQ3" s="65"/>
      <c r="FR3" s="65">
        <v>1</v>
      </c>
      <c r="FS3" s="65" t="s">
        <v>287</v>
      </c>
      <c r="FT3" s="65"/>
      <c r="FU3" s="65">
        <v>0</v>
      </c>
      <c r="FV3" s="65" t="s">
        <v>254</v>
      </c>
      <c r="FW3" s="65"/>
      <c r="FX3" s="65">
        <v>1</v>
      </c>
      <c r="FY3" s="65" t="s">
        <v>255</v>
      </c>
      <c r="FZ3" s="65"/>
      <c r="GA3" s="65">
        <v>1</v>
      </c>
      <c r="GB3" s="65" t="s">
        <v>256</v>
      </c>
      <c r="GC3" s="65"/>
      <c r="GD3" s="65">
        <v>1</v>
      </c>
      <c r="GE3" s="65" t="s">
        <v>288</v>
      </c>
      <c r="GF3" s="65"/>
      <c r="GG3" s="65">
        <v>0</v>
      </c>
      <c r="GH3" s="65" t="s">
        <v>289</v>
      </c>
      <c r="GI3" s="65"/>
      <c r="GJ3" s="65">
        <v>0</v>
      </c>
      <c r="GK3" s="65" t="s">
        <v>290</v>
      </c>
      <c r="GL3" s="65"/>
      <c r="GM3" s="65">
        <v>0</v>
      </c>
    </row>
    <row r="4" ht="15" spans="1:195">
      <c r="A4" s="64">
        <v>3</v>
      </c>
      <c r="B4" s="65" t="s">
        <v>291</v>
      </c>
      <c r="C4" s="65" t="s">
        <v>292</v>
      </c>
      <c r="D4" s="65" t="s">
        <v>197</v>
      </c>
      <c r="E4" s="65"/>
      <c r="F4" s="65">
        <v>48</v>
      </c>
      <c r="G4" s="65"/>
      <c r="H4" s="65"/>
      <c r="I4" s="65"/>
      <c r="J4" s="65"/>
      <c r="K4" s="65"/>
      <c r="L4" s="66" t="s">
        <v>293</v>
      </c>
      <c r="M4" s="65" t="s">
        <v>294</v>
      </c>
      <c r="N4" s="65"/>
      <c r="O4" s="65"/>
      <c r="P4" s="65" t="s">
        <v>264</v>
      </c>
      <c r="Q4" s="65">
        <v>1</v>
      </c>
      <c r="R4" s="65"/>
      <c r="S4" s="65" t="s">
        <v>201</v>
      </c>
      <c r="T4" s="65">
        <v>1</v>
      </c>
      <c r="U4" s="65"/>
      <c r="V4" s="65" t="s">
        <v>202</v>
      </c>
      <c r="W4" s="65">
        <v>1</v>
      </c>
      <c r="X4" s="65"/>
      <c r="Y4" s="65" t="s">
        <v>295</v>
      </c>
      <c r="Z4" s="65">
        <v>0</v>
      </c>
      <c r="AA4" s="65"/>
      <c r="AB4" s="65" t="s">
        <v>296</v>
      </c>
      <c r="AC4" s="65"/>
      <c r="AD4" s="65">
        <v>1</v>
      </c>
      <c r="AE4" s="65" t="s">
        <v>205</v>
      </c>
      <c r="AF4" s="65"/>
      <c r="AG4" s="65">
        <v>1</v>
      </c>
      <c r="AH4" s="65" t="s">
        <v>206</v>
      </c>
      <c r="AI4" s="65"/>
      <c r="AJ4" s="65">
        <v>1</v>
      </c>
      <c r="AK4" s="65" t="s">
        <v>268</v>
      </c>
      <c r="AL4" s="65"/>
      <c r="AM4" s="65">
        <v>0</v>
      </c>
      <c r="AN4" s="65" t="s">
        <v>297</v>
      </c>
      <c r="AO4" s="65"/>
      <c r="AP4" s="65">
        <v>0</v>
      </c>
      <c r="AQ4" s="65" t="s">
        <v>209</v>
      </c>
      <c r="AR4" s="65"/>
      <c r="AS4" s="65">
        <v>1</v>
      </c>
      <c r="AT4" s="65" t="s">
        <v>298</v>
      </c>
      <c r="AU4" s="65"/>
      <c r="AV4" s="65">
        <v>0</v>
      </c>
      <c r="AW4" s="65" t="s">
        <v>299</v>
      </c>
      <c r="AX4" s="65"/>
      <c r="AY4" s="65">
        <v>0</v>
      </c>
      <c r="AZ4" s="65" t="s">
        <v>212</v>
      </c>
      <c r="BA4" s="65"/>
      <c r="BB4" s="65">
        <v>1</v>
      </c>
      <c r="BC4" s="65" t="s">
        <v>213</v>
      </c>
      <c r="BD4" s="65"/>
      <c r="BE4" s="65">
        <v>1</v>
      </c>
      <c r="BF4" s="65" t="s">
        <v>214</v>
      </c>
      <c r="BG4" s="65"/>
      <c r="BH4" s="65">
        <v>1</v>
      </c>
      <c r="BI4" s="65" t="s">
        <v>215</v>
      </c>
      <c r="BJ4" s="65"/>
      <c r="BK4" s="65">
        <v>1</v>
      </c>
      <c r="BL4" s="65" t="s">
        <v>216</v>
      </c>
      <c r="BM4" s="65"/>
      <c r="BN4" s="65">
        <v>1</v>
      </c>
      <c r="BO4" s="65" t="s">
        <v>217</v>
      </c>
      <c r="BP4" s="65"/>
      <c r="BQ4" s="65">
        <v>1</v>
      </c>
      <c r="BR4" s="65" t="s">
        <v>300</v>
      </c>
      <c r="BS4" s="65"/>
      <c r="BT4" s="65">
        <v>0</v>
      </c>
      <c r="BU4" s="65" t="s">
        <v>219</v>
      </c>
      <c r="BV4" s="65">
        <v>1</v>
      </c>
      <c r="BW4" s="65"/>
      <c r="BX4" s="65" t="s">
        <v>220</v>
      </c>
      <c r="BY4" s="65">
        <v>1</v>
      </c>
      <c r="BZ4" s="65"/>
      <c r="CA4" s="65" t="s">
        <v>301</v>
      </c>
      <c r="CB4" s="65">
        <v>0</v>
      </c>
      <c r="CC4" s="65"/>
      <c r="CD4" s="65" t="s">
        <v>275</v>
      </c>
      <c r="CE4" s="65">
        <v>1</v>
      </c>
      <c r="CF4" s="65"/>
      <c r="CG4" s="65" t="s">
        <v>223</v>
      </c>
      <c r="CH4" s="65">
        <v>1</v>
      </c>
      <c r="CI4" s="65"/>
      <c r="CJ4" s="65" t="s">
        <v>224</v>
      </c>
      <c r="CK4" s="65"/>
      <c r="CL4" s="65">
        <v>1</v>
      </c>
      <c r="CM4" s="65" t="s">
        <v>225</v>
      </c>
      <c r="CN4" s="65"/>
      <c r="CO4" s="65">
        <v>1</v>
      </c>
      <c r="CP4" s="65" t="s">
        <v>226</v>
      </c>
      <c r="CQ4" s="65"/>
      <c r="CR4" s="65">
        <v>1</v>
      </c>
      <c r="CS4" s="65" t="s">
        <v>227</v>
      </c>
      <c r="CT4" s="65"/>
      <c r="CU4" s="65">
        <v>1</v>
      </c>
      <c r="CV4" s="65" t="s">
        <v>228</v>
      </c>
      <c r="CW4" s="65"/>
      <c r="CX4" s="65">
        <v>1</v>
      </c>
      <c r="CY4" s="65" t="s">
        <v>229</v>
      </c>
      <c r="CZ4" s="65"/>
      <c r="DA4" s="65">
        <v>1</v>
      </c>
      <c r="DB4" s="65" t="s">
        <v>230</v>
      </c>
      <c r="DC4" s="65"/>
      <c r="DD4" s="65">
        <v>1</v>
      </c>
      <c r="DE4" s="65" t="s">
        <v>302</v>
      </c>
      <c r="DF4" s="65"/>
      <c r="DG4" s="65">
        <v>0</v>
      </c>
      <c r="DH4" s="65" t="s">
        <v>232</v>
      </c>
      <c r="DI4" s="65"/>
      <c r="DJ4" s="65">
        <v>1</v>
      </c>
      <c r="DK4" s="65" t="s">
        <v>233</v>
      </c>
      <c r="DL4" s="65"/>
      <c r="DM4" s="65">
        <v>1</v>
      </c>
      <c r="DN4" s="65" t="s">
        <v>234</v>
      </c>
      <c r="DO4" s="65"/>
      <c r="DP4" s="65">
        <v>1</v>
      </c>
      <c r="DQ4" s="65" t="s">
        <v>235</v>
      </c>
      <c r="DR4" s="65"/>
      <c r="DS4" s="65">
        <v>1</v>
      </c>
      <c r="DT4" s="65" t="s">
        <v>236</v>
      </c>
      <c r="DU4" s="65"/>
      <c r="DV4" s="65">
        <v>1</v>
      </c>
      <c r="DW4" s="65" t="s">
        <v>237</v>
      </c>
      <c r="DX4" s="65"/>
      <c r="DY4" s="65">
        <v>1</v>
      </c>
      <c r="DZ4" s="65" t="s">
        <v>238</v>
      </c>
      <c r="EA4" s="65"/>
      <c r="EB4" s="65">
        <v>1</v>
      </c>
      <c r="EC4" s="65" t="s">
        <v>303</v>
      </c>
      <c r="ED4" s="65"/>
      <c r="EE4" s="65">
        <v>0</v>
      </c>
      <c r="EF4" s="65" t="s">
        <v>240</v>
      </c>
      <c r="EG4" s="65"/>
      <c r="EH4" s="65">
        <v>1</v>
      </c>
      <c r="EI4" s="65" t="s">
        <v>241</v>
      </c>
      <c r="EJ4" s="65"/>
      <c r="EK4" s="65">
        <v>1</v>
      </c>
      <c r="EL4" s="65" t="s">
        <v>242</v>
      </c>
      <c r="EM4" s="65"/>
      <c r="EN4" s="65">
        <v>1</v>
      </c>
      <c r="EO4" s="65" t="s">
        <v>243</v>
      </c>
      <c r="EP4" s="65"/>
      <c r="EQ4" s="65">
        <v>1</v>
      </c>
      <c r="ER4" s="65" t="s">
        <v>282</v>
      </c>
      <c r="ES4" s="65"/>
      <c r="ET4" s="65">
        <v>0</v>
      </c>
      <c r="EU4" s="65" t="s">
        <v>245</v>
      </c>
      <c r="EV4" s="65"/>
      <c r="EW4" s="65">
        <v>1</v>
      </c>
      <c r="EX4" s="65" t="s">
        <v>246</v>
      </c>
      <c r="EY4" s="65"/>
      <c r="EZ4" s="65">
        <v>1</v>
      </c>
      <c r="FA4" s="65" t="s">
        <v>247</v>
      </c>
      <c r="FB4" s="65"/>
      <c r="FC4" s="65">
        <v>1</v>
      </c>
      <c r="FD4" s="65" t="s">
        <v>248</v>
      </c>
      <c r="FE4" s="65"/>
      <c r="FF4" s="65">
        <v>1</v>
      </c>
      <c r="FG4" s="65" t="s">
        <v>249</v>
      </c>
      <c r="FH4" s="65"/>
      <c r="FI4" s="65">
        <v>1</v>
      </c>
      <c r="FJ4" s="65" t="s">
        <v>304</v>
      </c>
      <c r="FK4" s="65"/>
      <c r="FL4" s="65">
        <v>1</v>
      </c>
      <c r="FM4" s="65" t="s">
        <v>305</v>
      </c>
      <c r="FN4" s="65"/>
      <c r="FO4" s="65">
        <v>0</v>
      </c>
      <c r="FP4" s="65" t="s">
        <v>252</v>
      </c>
      <c r="FQ4" s="65"/>
      <c r="FR4" s="65">
        <v>1</v>
      </c>
      <c r="FS4" s="65" t="s">
        <v>253</v>
      </c>
      <c r="FT4" s="65"/>
      <c r="FU4" s="65">
        <v>1</v>
      </c>
      <c r="FV4" s="65" t="s">
        <v>254</v>
      </c>
      <c r="FW4" s="65"/>
      <c r="FX4" s="65">
        <v>1</v>
      </c>
      <c r="FY4" s="65" t="s">
        <v>255</v>
      </c>
      <c r="FZ4" s="65"/>
      <c r="GA4" s="65">
        <v>1</v>
      </c>
      <c r="GB4" s="65" t="s">
        <v>256</v>
      </c>
      <c r="GC4" s="65"/>
      <c r="GD4" s="65">
        <v>1</v>
      </c>
      <c r="GE4" s="65" t="s">
        <v>257</v>
      </c>
      <c r="GF4" s="65"/>
      <c r="GG4" s="65">
        <v>1</v>
      </c>
      <c r="GH4" s="65" t="s">
        <v>289</v>
      </c>
      <c r="GI4" s="65"/>
      <c r="GJ4" s="65">
        <v>0</v>
      </c>
      <c r="GK4" s="65" t="s">
        <v>259</v>
      </c>
      <c r="GL4" s="65"/>
      <c r="GM4" s="65">
        <v>1</v>
      </c>
    </row>
    <row r="5" ht="15" spans="1:195">
      <c r="A5" s="64"/>
      <c r="B5" s="65"/>
      <c r="C5" s="65"/>
      <c r="D5" s="65"/>
      <c r="E5" s="65"/>
      <c r="F5" s="65"/>
      <c r="G5" s="65"/>
      <c r="H5" s="65"/>
      <c r="I5" s="65"/>
      <c r="J5" s="65"/>
      <c r="K5" s="65"/>
      <c r="L5" s="66"/>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c r="DQ5" s="65"/>
      <c r="DR5" s="65"/>
      <c r="DS5" s="65"/>
      <c r="DT5" s="65"/>
      <c r="DU5" s="65"/>
      <c r="DV5" s="65"/>
      <c r="DW5" s="65"/>
      <c r="DX5" s="65"/>
      <c r="DY5" s="65"/>
      <c r="DZ5" s="65"/>
      <c r="EA5" s="65"/>
      <c r="EB5" s="65"/>
      <c r="EC5" s="65"/>
      <c r="ED5" s="65"/>
      <c r="EE5" s="65"/>
      <c r="EF5" s="65"/>
      <c r="EG5" s="65"/>
      <c r="EH5" s="65"/>
      <c r="EI5" s="65"/>
      <c r="EJ5" s="65"/>
      <c r="EK5" s="65"/>
      <c r="EL5" s="65"/>
      <c r="EM5" s="65"/>
      <c r="EN5" s="65"/>
      <c r="EO5" s="65"/>
      <c r="EP5" s="65"/>
      <c r="EQ5" s="65"/>
      <c r="ER5" s="65"/>
      <c r="ES5" s="65"/>
      <c r="ET5" s="65"/>
      <c r="EU5" s="65"/>
      <c r="EV5" s="65"/>
      <c r="EW5" s="65"/>
      <c r="EX5" s="65"/>
      <c r="EY5" s="65"/>
      <c r="EZ5" s="65"/>
      <c r="FA5" s="65"/>
      <c r="FB5" s="65"/>
      <c r="FC5" s="65"/>
      <c r="FD5" s="65"/>
      <c r="FE5" s="65"/>
      <c r="FF5" s="65"/>
      <c r="FG5" s="65"/>
      <c r="FH5" s="65"/>
      <c r="FI5" s="65"/>
      <c r="FJ5" s="65"/>
      <c r="FK5" s="65"/>
      <c r="FL5" s="65"/>
      <c r="FM5" s="65"/>
      <c r="FN5" s="65"/>
      <c r="FO5" s="65"/>
      <c r="FP5" s="65"/>
      <c r="FQ5" s="65"/>
      <c r="FR5" s="65"/>
      <c r="FS5" s="65"/>
      <c r="FT5" s="65"/>
      <c r="FU5" s="65"/>
      <c r="FV5" s="65"/>
      <c r="FW5" s="65"/>
      <c r="FX5" s="65"/>
      <c r="FY5" s="65"/>
      <c r="FZ5" s="65"/>
      <c r="GA5" s="65"/>
      <c r="GB5" s="65"/>
      <c r="GC5" s="65"/>
      <c r="GD5" s="65"/>
      <c r="GE5" s="65"/>
      <c r="GF5" s="65"/>
      <c r="GG5" s="65"/>
      <c r="GH5" s="65"/>
      <c r="GI5" s="65"/>
      <c r="GJ5" s="65"/>
      <c r="GK5" s="65"/>
      <c r="GL5" s="65"/>
      <c r="GM5" s="65"/>
    </row>
    <row r="6" ht="15" spans="1:195">
      <c r="A6" s="64"/>
      <c r="B6" s="65"/>
      <c r="C6" s="65"/>
      <c r="D6" s="65"/>
      <c r="E6" s="65"/>
      <c r="F6" s="65"/>
      <c r="G6" s="65"/>
      <c r="H6" s="65"/>
      <c r="I6" s="65"/>
      <c r="J6" s="65"/>
      <c r="K6" s="65"/>
      <c r="L6" s="66"/>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row>
    <row r="7" ht="15" spans="1:195">
      <c r="A7" s="64"/>
      <c r="B7" s="65"/>
      <c r="C7" s="65"/>
      <c r="D7" s="65"/>
      <c r="E7" s="65"/>
      <c r="F7" s="65"/>
      <c r="G7" s="65"/>
      <c r="H7" s="65"/>
      <c r="I7" s="65"/>
      <c r="J7" s="65"/>
      <c r="K7" s="65"/>
      <c r="L7" s="66"/>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row>
    <row r="8" ht="15" spans="1:195">
      <c r="A8" s="64"/>
      <c r="B8" s="65"/>
      <c r="C8" s="65"/>
      <c r="D8" s="65"/>
      <c r="E8" s="65"/>
      <c r="F8" s="65"/>
      <c r="G8" s="65"/>
      <c r="H8" s="65"/>
      <c r="I8" s="65"/>
      <c r="J8" s="65"/>
      <c r="K8" s="65"/>
      <c r="L8" s="66"/>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row>
    <row r="9" ht="15" spans="1:195">
      <c r="A9" s="64"/>
      <c r="B9" s="65"/>
      <c r="C9" s="65"/>
      <c r="D9" s="65"/>
      <c r="E9" s="65"/>
      <c r="F9" s="65"/>
      <c r="G9" s="65"/>
      <c r="H9" s="65"/>
      <c r="I9" s="65"/>
      <c r="J9" s="65"/>
      <c r="K9" s="65"/>
      <c r="L9" s="66"/>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row>
    <row r="10" ht="15" spans="1:195">
      <c r="A10" s="64"/>
      <c r="B10" s="65"/>
      <c r="C10" s="65"/>
      <c r="D10" s="65"/>
      <c r="E10" s="65"/>
      <c r="F10" s="65"/>
      <c r="G10" s="65"/>
      <c r="H10" s="65"/>
      <c r="I10" s="65"/>
      <c r="J10" s="65"/>
      <c r="K10" s="65"/>
      <c r="L10" s="66"/>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row>
    <row r="11" ht="15" spans="1:195">
      <c r="A11" s="64"/>
      <c r="B11" s="65"/>
      <c r="C11" s="65"/>
      <c r="D11" s="65"/>
      <c r="E11" s="65"/>
      <c r="F11" s="65"/>
      <c r="G11" s="65"/>
      <c r="H11" s="65"/>
      <c r="I11" s="65"/>
      <c r="J11" s="65"/>
      <c r="K11" s="65"/>
      <c r="L11" s="66"/>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c r="ET11" s="65"/>
      <c r="EU11" s="65"/>
      <c r="EV11" s="65"/>
      <c r="EW11" s="65"/>
      <c r="EX11" s="65"/>
      <c r="EY11" s="65"/>
      <c r="EZ11" s="65"/>
      <c r="FA11" s="65"/>
      <c r="FB11" s="65"/>
      <c r="FC11" s="65"/>
      <c r="FD11" s="65"/>
      <c r="FE11" s="65"/>
      <c r="FF11" s="65"/>
      <c r="FG11" s="65"/>
      <c r="FH11" s="65"/>
      <c r="FI11" s="65"/>
      <c r="FJ11" s="65"/>
      <c r="FK11" s="65"/>
      <c r="FL11" s="65"/>
      <c r="FM11" s="65"/>
      <c r="FN11" s="65"/>
      <c r="FO11" s="65"/>
      <c r="FP11" s="65"/>
      <c r="FQ11" s="65"/>
      <c r="FR11" s="65"/>
      <c r="FS11" s="65"/>
      <c r="FT11" s="65"/>
      <c r="FU11" s="65"/>
      <c r="FV11" s="65"/>
      <c r="FW11" s="65"/>
      <c r="FX11" s="65"/>
      <c r="FY11" s="65"/>
      <c r="FZ11" s="65"/>
      <c r="GA11" s="65"/>
      <c r="GB11" s="65"/>
      <c r="GC11" s="65"/>
      <c r="GD11" s="65"/>
      <c r="GE11" s="65"/>
      <c r="GF11" s="65"/>
      <c r="GG11" s="65"/>
      <c r="GH11" s="65"/>
      <c r="GI11" s="65"/>
      <c r="GJ11" s="65"/>
      <c r="GK11" s="65"/>
      <c r="GL11" s="65"/>
      <c r="GM11" s="65"/>
    </row>
    <row r="12" ht="15" spans="1:195">
      <c r="A12" s="64"/>
      <c r="B12" s="65"/>
      <c r="C12" s="65"/>
      <c r="D12" s="65"/>
      <c r="E12" s="65"/>
      <c r="F12" s="65"/>
      <c r="G12" s="65"/>
      <c r="H12" s="65"/>
      <c r="I12" s="65"/>
      <c r="J12" s="65"/>
      <c r="K12" s="65"/>
      <c r="L12" s="66"/>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65"/>
      <c r="FA12" s="65"/>
      <c r="FB12" s="65"/>
      <c r="FC12" s="65"/>
      <c r="FD12" s="65"/>
      <c r="FE12" s="65"/>
      <c r="FF12" s="65"/>
      <c r="FG12" s="65"/>
      <c r="FH12" s="65"/>
      <c r="FI12" s="65"/>
      <c r="FJ12" s="65"/>
      <c r="FK12" s="65"/>
      <c r="FL12" s="65"/>
      <c r="FM12" s="65"/>
      <c r="FN12" s="65"/>
      <c r="FO12" s="65"/>
      <c r="FP12" s="65"/>
      <c r="FQ12" s="65"/>
      <c r="FR12" s="65"/>
      <c r="FS12" s="65"/>
      <c r="FT12" s="65"/>
      <c r="FU12" s="65"/>
      <c r="FV12" s="65"/>
      <c r="FW12" s="65"/>
      <c r="FX12" s="65"/>
      <c r="FY12" s="65"/>
      <c r="FZ12" s="65"/>
      <c r="GA12" s="65"/>
      <c r="GB12" s="65"/>
      <c r="GC12" s="65"/>
      <c r="GD12" s="65"/>
      <c r="GE12" s="65"/>
      <c r="GF12" s="65"/>
      <c r="GG12" s="65"/>
      <c r="GH12" s="65"/>
      <c r="GI12" s="65"/>
      <c r="GJ12" s="65"/>
      <c r="GK12" s="65"/>
      <c r="GL12" s="65"/>
      <c r="GM12" s="65"/>
    </row>
    <row r="13" ht="15" spans="1:195">
      <c r="A13" s="64"/>
      <c r="B13" s="65"/>
      <c r="C13" s="65"/>
      <c r="D13" s="65"/>
      <c r="E13" s="65"/>
      <c r="F13" s="65"/>
      <c r="G13" s="65"/>
      <c r="H13" s="65"/>
      <c r="I13" s="65"/>
      <c r="J13" s="65"/>
      <c r="K13" s="65"/>
      <c r="L13" s="66"/>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c r="EP13" s="65"/>
      <c r="EQ13" s="65"/>
      <c r="ER13" s="65"/>
      <c r="ES13" s="65"/>
      <c r="ET13" s="65"/>
      <c r="EU13" s="65"/>
      <c r="EV13" s="65"/>
      <c r="EW13" s="65"/>
      <c r="EX13" s="65"/>
      <c r="EY13" s="65"/>
      <c r="EZ13" s="65"/>
      <c r="FA13" s="65"/>
      <c r="FB13" s="65"/>
      <c r="FC13" s="65"/>
      <c r="FD13" s="65"/>
      <c r="FE13" s="65"/>
      <c r="FF13" s="65"/>
      <c r="FG13" s="65"/>
      <c r="FH13" s="65"/>
      <c r="FI13" s="65"/>
      <c r="FJ13" s="65"/>
      <c r="FK13" s="65"/>
      <c r="FL13" s="65"/>
      <c r="FM13" s="65"/>
      <c r="FN13" s="65"/>
      <c r="FO13" s="65"/>
      <c r="FP13" s="65"/>
      <c r="FQ13" s="65"/>
      <c r="FR13" s="65"/>
      <c r="FS13" s="65"/>
      <c r="FT13" s="65"/>
      <c r="FU13" s="65"/>
      <c r="FV13" s="65"/>
      <c r="FW13" s="65"/>
      <c r="FX13" s="65"/>
      <c r="FY13" s="65"/>
      <c r="FZ13" s="65"/>
      <c r="GA13" s="65"/>
      <c r="GB13" s="65"/>
      <c r="GC13" s="65"/>
      <c r="GD13" s="65"/>
      <c r="GE13" s="65"/>
      <c r="GF13" s="65"/>
      <c r="GG13" s="65"/>
      <c r="GH13" s="65"/>
      <c r="GI13" s="65"/>
      <c r="GJ13" s="65"/>
      <c r="GK13" s="65"/>
      <c r="GL13" s="65"/>
      <c r="GM13" s="65"/>
    </row>
    <row r="14" ht="15" spans="1:195">
      <c r="A14" s="64"/>
      <c r="B14" s="65"/>
      <c r="C14" s="65"/>
      <c r="D14" s="65"/>
      <c r="E14" s="65"/>
      <c r="F14" s="65"/>
      <c r="G14" s="65"/>
      <c r="H14" s="65"/>
      <c r="I14" s="65"/>
      <c r="J14" s="65"/>
      <c r="K14" s="65"/>
      <c r="L14" s="66"/>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row>
    <row r="15" ht="15" spans="1:195">
      <c r="A15" s="64"/>
      <c r="B15" s="65"/>
      <c r="C15" s="65"/>
      <c r="D15" s="65"/>
      <c r="E15" s="65"/>
      <c r="F15" s="65"/>
      <c r="G15" s="65"/>
      <c r="H15" s="65"/>
      <c r="I15" s="65"/>
      <c r="J15" s="65"/>
      <c r="K15" s="65"/>
      <c r="L15" s="66"/>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row>
    <row r="16" ht="15" spans="1:195">
      <c r="A16" s="64"/>
      <c r="B16" s="65"/>
      <c r="C16" s="65"/>
      <c r="D16" s="65"/>
      <c r="E16" s="65"/>
      <c r="F16" s="65"/>
      <c r="G16" s="65"/>
      <c r="H16" s="65"/>
      <c r="I16" s="65"/>
      <c r="J16" s="65"/>
      <c r="K16" s="65"/>
      <c r="L16" s="66"/>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c r="EP16" s="65"/>
      <c r="EQ16" s="65"/>
      <c r="ER16" s="65"/>
      <c r="ES16" s="65"/>
      <c r="ET16" s="65"/>
      <c r="EU16" s="65"/>
      <c r="EV16" s="65"/>
      <c r="EW16" s="65"/>
      <c r="EX16" s="65"/>
      <c r="EY16" s="65"/>
      <c r="EZ16" s="65"/>
      <c r="FA16" s="65"/>
      <c r="FB16" s="65"/>
      <c r="FC16" s="65"/>
      <c r="FD16" s="65"/>
      <c r="FE16" s="65"/>
      <c r="FF16" s="65"/>
      <c r="FG16" s="65"/>
      <c r="FH16" s="65"/>
      <c r="FI16" s="65"/>
      <c r="FJ16" s="65"/>
      <c r="FK16" s="65"/>
      <c r="FL16" s="65"/>
      <c r="FM16" s="65"/>
      <c r="FN16" s="65"/>
      <c r="FO16" s="65"/>
      <c r="FP16" s="65"/>
      <c r="FQ16" s="65"/>
      <c r="FR16" s="65"/>
      <c r="FS16" s="65"/>
      <c r="FT16" s="65"/>
      <c r="FU16" s="65"/>
      <c r="FV16" s="65"/>
      <c r="FW16" s="65"/>
      <c r="FX16" s="65"/>
      <c r="FY16" s="65"/>
      <c r="FZ16" s="65"/>
      <c r="GA16" s="65"/>
      <c r="GB16" s="65"/>
      <c r="GC16" s="65"/>
      <c r="GD16" s="65"/>
      <c r="GE16" s="65"/>
      <c r="GF16" s="65"/>
      <c r="GG16" s="65"/>
      <c r="GH16" s="65"/>
      <c r="GI16" s="65"/>
      <c r="GJ16" s="65"/>
      <c r="GK16" s="65"/>
      <c r="GL16" s="65"/>
      <c r="GM16" s="65"/>
    </row>
    <row r="17" ht="15" spans="1:195">
      <c r="A17" s="64"/>
      <c r="B17" s="65"/>
      <c r="C17" s="65"/>
      <c r="D17" s="65"/>
      <c r="E17" s="65"/>
      <c r="F17" s="65"/>
      <c r="G17" s="65"/>
      <c r="H17" s="65"/>
      <c r="I17" s="65"/>
      <c r="J17" s="65"/>
      <c r="K17" s="65"/>
      <c r="L17" s="66"/>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c r="EP17" s="65"/>
      <c r="EQ17" s="65"/>
      <c r="ER17" s="65"/>
      <c r="ES17" s="65"/>
      <c r="ET17" s="65"/>
      <c r="EU17" s="65"/>
      <c r="EV17" s="65"/>
      <c r="EW17" s="65"/>
      <c r="EX17" s="65"/>
      <c r="EY17" s="65"/>
      <c r="EZ17" s="65"/>
      <c r="FA17" s="65"/>
      <c r="FB17" s="65"/>
      <c r="FC17" s="65"/>
      <c r="FD17" s="65"/>
      <c r="FE17" s="65"/>
      <c r="FF17" s="65"/>
      <c r="FG17" s="65"/>
      <c r="FH17" s="65"/>
      <c r="FI17" s="65"/>
      <c r="FJ17" s="65"/>
      <c r="FK17" s="65"/>
      <c r="FL17" s="65"/>
      <c r="FM17" s="65"/>
      <c r="FN17" s="65"/>
      <c r="FO17" s="65"/>
      <c r="FP17" s="65"/>
      <c r="FQ17" s="65"/>
      <c r="FR17" s="65"/>
      <c r="FS17" s="65"/>
      <c r="FT17" s="65"/>
      <c r="FU17" s="65"/>
      <c r="FV17" s="65"/>
      <c r="FW17" s="65"/>
      <c r="FX17" s="65"/>
      <c r="FY17" s="65"/>
      <c r="FZ17" s="65"/>
      <c r="GA17" s="65"/>
      <c r="GB17" s="65"/>
      <c r="GC17" s="65"/>
      <c r="GD17" s="65"/>
      <c r="GE17" s="65"/>
      <c r="GF17" s="65"/>
      <c r="GG17" s="65"/>
      <c r="GH17" s="65"/>
      <c r="GI17" s="65"/>
      <c r="GJ17" s="65"/>
      <c r="GK17" s="65"/>
      <c r="GL17" s="65"/>
      <c r="GM17" s="65"/>
    </row>
    <row r="18" ht="15" spans="1:195">
      <c r="A18" s="64"/>
      <c r="B18" s="65"/>
      <c r="C18" s="65"/>
      <c r="D18" s="65"/>
      <c r="E18" s="65"/>
      <c r="F18" s="65"/>
      <c r="G18" s="65"/>
      <c r="H18" s="65"/>
      <c r="I18" s="65"/>
      <c r="J18" s="65"/>
      <c r="K18" s="65"/>
      <c r="L18" s="66"/>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c r="EP18" s="65"/>
      <c r="EQ18" s="65"/>
      <c r="ER18" s="65"/>
      <c r="ES18" s="65"/>
      <c r="ET18" s="65"/>
      <c r="EU18" s="65"/>
      <c r="EV18" s="65"/>
      <c r="EW18" s="65"/>
      <c r="EX18" s="65"/>
      <c r="EY18" s="65"/>
      <c r="EZ18" s="65"/>
      <c r="FA18" s="65"/>
      <c r="FB18" s="65"/>
      <c r="FC18" s="65"/>
      <c r="FD18" s="65"/>
      <c r="FE18" s="65"/>
      <c r="FF18" s="65"/>
      <c r="FG18" s="65"/>
      <c r="FH18" s="65"/>
      <c r="FI18" s="65"/>
      <c r="FJ18" s="65"/>
      <c r="FK18" s="65"/>
      <c r="FL18" s="65"/>
      <c r="FM18" s="65"/>
      <c r="FN18" s="65"/>
      <c r="FO18" s="65"/>
      <c r="FP18" s="65"/>
      <c r="FQ18" s="65"/>
      <c r="FR18" s="65"/>
      <c r="FS18" s="65"/>
      <c r="FT18" s="65"/>
      <c r="FU18" s="65"/>
      <c r="FV18" s="65"/>
      <c r="FW18" s="65"/>
      <c r="FX18" s="65"/>
      <c r="FY18" s="65"/>
      <c r="FZ18" s="65"/>
      <c r="GA18" s="65"/>
      <c r="GB18" s="65"/>
      <c r="GC18" s="65"/>
      <c r="GD18" s="65"/>
      <c r="GE18" s="65"/>
      <c r="GF18" s="65"/>
      <c r="GG18" s="65"/>
      <c r="GH18" s="65"/>
      <c r="GI18" s="65"/>
      <c r="GJ18" s="65"/>
      <c r="GK18" s="65"/>
      <c r="GL18" s="65"/>
      <c r="GM18" s="65"/>
    </row>
    <row r="19" ht="15" spans="1:195">
      <c r="A19" s="64"/>
      <c r="B19" s="65"/>
      <c r="C19" s="65"/>
      <c r="D19" s="65"/>
      <c r="E19" s="65"/>
      <c r="F19" s="65"/>
      <c r="G19" s="65"/>
      <c r="H19" s="65"/>
      <c r="I19" s="65"/>
      <c r="J19" s="65"/>
      <c r="K19" s="65"/>
      <c r="L19" s="66"/>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c r="EP19" s="65"/>
      <c r="EQ19" s="65"/>
      <c r="ER19" s="65"/>
      <c r="ES19" s="65"/>
      <c r="ET19" s="65"/>
      <c r="EU19" s="65"/>
      <c r="EV19" s="65"/>
      <c r="EW19" s="65"/>
      <c r="EX19" s="65"/>
      <c r="EY19" s="65"/>
      <c r="EZ19" s="65"/>
      <c r="FA19" s="65"/>
      <c r="FB19" s="65"/>
      <c r="FC19" s="65"/>
      <c r="FD19" s="65"/>
      <c r="FE19" s="65"/>
      <c r="FF19" s="65"/>
      <c r="FG19" s="65"/>
      <c r="FH19" s="65"/>
      <c r="FI19" s="65"/>
      <c r="FJ19" s="65"/>
      <c r="FK19" s="65"/>
      <c r="FL19" s="65"/>
      <c r="FM19" s="65"/>
      <c r="FN19" s="65"/>
      <c r="FO19" s="65"/>
      <c r="FP19" s="65"/>
      <c r="FQ19" s="65"/>
      <c r="FR19" s="65"/>
      <c r="FS19" s="65"/>
      <c r="FT19" s="65"/>
      <c r="FU19" s="65"/>
      <c r="FV19" s="65"/>
      <c r="FW19" s="65"/>
      <c r="FX19" s="65"/>
      <c r="FY19" s="65"/>
      <c r="FZ19" s="65"/>
      <c r="GA19" s="65"/>
      <c r="GB19" s="65"/>
      <c r="GC19" s="65"/>
      <c r="GD19" s="65"/>
      <c r="GE19" s="65"/>
      <c r="GF19" s="65"/>
      <c r="GG19" s="65"/>
      <c r="GH19" s="65"/>
      <c r="GI19" s="65"/>
      <c r="GJ19" s="65"/>
      <c r="GK19" s="65"/>
      <c r="GL19" s="65"/>
      <c r="GM19" s="65"/>
    </row>
    <row r="20" ht="15" spans="1:195">
      <c r="A20" s="64"/>
      <c r="B20" s="65"/>
      <c r="C20" s="65"/>
      <c r="D20" s="65"/>
      <c r="E20" s="65"/>
      <c r="F20" s="65"/>
      <c r="G20" s="65"/>
      <c r="H20" s="65"/>
      <c r="I20" s="65"/>
      <c r="J20" s="65"/>
      <c r="K20" s="65"/>
      <c r="L20" s="66"/>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c r="EP20" s="65"/>
      <c r="EQ20" s="65"/>
      <c r="ER20" s="65"/>
      <c r="ES20" s="65"/>
      <c r="ET20" s="65"/>
      <c r="EU20" s="65"/>
      <c r="EV20" s="65"/>
      <c r="EW20" s="65"/>
      <c r="EX20" s="65"/>
      <c r="EY20" s="65"/>
      <c r="EZ20" s="65"/>
      <c r="FA20" s="65"/>
      <c r="FB20" s="65"/>
      <c r="FC20" s="65"/>
      <c r="FD20" s="65"/>
      <c r="FE20" s="65"/>
      <c r="FF20" s="65"/>
      <c r="FG20" s="65"/>
      <c r="FH20" s="65"/>
      <c r="FI20" s="65"/>
      <c r="FJ20" s="65"/>
      <c r="FK20" s="65"/>
      <c r="FL20" s="65"/>
      <c r="FM20" s="65"/>
      <c r="FN20" s="65"/>
      <c r="FO20" s="65"/>
      <c r="FP20" s="65"/>
      <c r="FQ20" s="65"/>
      <c r="FR20" s="65"/>
      <c r="FS20" s="65"/>
      <c r="FT20" s="65"/>
      <c r="FU20" s="65"/>
      <c r="FV20" s="65"/>
      <c r="FW20" s="65"/>
      <c r="FX20" s="65"/>
      <c r="FY20" s="65"/>
      <c r="FZ20" s="65"/>
      <c r="GA20" s="65"/>
      <c r="GB20" s="65"/>
      <c r="GC20" s="65"/>
      <c r="GD20" s="65"/>
      <c r="GE20" s="65"/>
      <c r="GF20" s="65"/>
      <c r="GG20" s="65"/>
      <c r="GH20" s="65"/>
      <c r="GI20" s="65"/>
      <c r="GJ20" s="65"/>
      <c r="GK20" s="65"/>
      <c r="GL20" s="65"/>
      <c r="GM20" s="65"/>
    </row>
    <row r="21" ht="15" spans="1:195">
      <c r="A21" s="64"/>
      <c r="B21" s="65"/>
      <c r="C21" s="65"/>
      <c r="D21" s="65"/>
      <c r="E21" s="65"/>
      <c r="F21" s="65"/>
      <c r="G21" s="65"/>
      <c r="H21" s="65"/>
      <c r="I21" s="65"/>
      <c r="J21" s="65"/>
      <c r="K21" s="65"/>
      <c r="L21" s="66"/>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c r="EP21" s="65"/>
      <c r="EQ21" s="65"/>
      <c r="ER21" s="65"/>
      <c r="ES21" s="65"/>
      <c r="ET21" s="65"/>
      <c r="EU21" s="65"/>
      <c r="EV21" s="65"/>
      <c r="EW21" s="65"/>
      <c r="EX21" s="65"/>
      <c r="EY21" s="65"/>
      <c r="EZ21" s="65"/>
      <c r="FA21" s="65"/>
      <c r="FB21" s="65"/>
      <c r="FC21" s="65"/>
      <c r="FD21" s="65"/>
      <c r="FE21" s="65"/>
      <c r="FF21" s="65"/>
      <c r="FG21" s="65"/>
      <c r="FH21" s="65"/>
      <c r="FI21" s="65"/>
      <c r="FJ21" s="65"/>
      <c r="FK21" s="65"/>
      <c r="FL21" s="65"/>
      <c r="FM21" s="65"/>
      <c r="FN21" s="65"/>
      <c r="FO21" s="65"/>
      <c r="FP21" s="65"/>
      <c r="FQ21" s="65"/>
      <c r="FR21" s="65"/>
      <c r="FS21" s="65"/>
      <c r="FT21" s="65"/>
      <c r="FU21" s="65"/>
      <c r="FV21" s="65"/>
      <c r="FW21" s="65"/>
      <c r="FX21" s="65"/>
      <c r="FY21" s="65"/>
      <c r="FZ21" s="65"/>
      <c r="GA21" s="65"/>
      <c r="GB21" s="65"/>
      <c r="GC21" s="65"/>
      <c r="GD21" s="65"/>
      <c r="GE21" s="65"/>
      <c r="GF21" s="65"/>
      <c r="GG21" s="65"/>
      <c r="GH21" s="65"/>
      <c r="GI21" s="65"/>
      <c r="GJ21" s="65"/>
      <c r="GK21" s="65"/>
      <c r="GL21" s="65"/>
      <c r="GM21" s="65"/>
    </row>
    <row r="22" ht="15" spans="1:195">
      <c r="A22" s="64"/>
      <c r="B22" s="65"/>
      <c r="C22" s="65"/>
      <c r="D22" s="65"/>
      <c r="E22" s="65"/>
      <c r="F22" s="65"/>
      <c r="G22" s="65"/>
      <c r="H22" s="65"/>
      <c r="I22" s="65"/>
      <c r="J22" s="65"/>
      <c r="K22" s="65"/>
      <c r="L22" s="66"/>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c r="EP22" s="65"/>
      <c r="EQ22" s="65"/>
      <c r="ER22" s="65"/>
      <c r="ES22" s="65"/>
      <c r="ET22" s="65"/>
      <c r="EU22" s="65"/>
      <c r="EV22" s="65"/>
      <c r="EW22" s="65"/>
      <c r="EX22" s="65"/>
      <c r="EY22" s="65"/>
      <c r="EZ22" s="65"/>
      <c r="FA22" s="65"/>
      <c r="FB22" s="65"/>
      <c r="FC22" s="65"/>
      <c r="FD22" s="65"/>
      <c r="FE22" s="65"/>
      <c r="FF22" s="65"/>
      <c r="FG22" s="65"/>
      <c r="FH22" s="65"/>
      <c r="FI22" s="65"/>
      <c r="FJ22" s="65"/>
      <c r="FK22" s="65"/>
      <c r="FL22" s="65"/>
      <c r="FM22" s="65"/>
      <c r="FN22" s="65"/>
      <c r="FO22" s="65"/>
      <c r="FP22" s="65"/>
      <c r="FQ22" s="65"/>
      <c r="FR22" s="65"/>
      <c r="FS22" s="65"/>
      <c r="FT22" s="65"/>
      <c r="FU22" s="65"/>
      <c r="FV22" s="65"/>
      <c r="FW22" s="65"/>
      <c r="FX22" s="65"/>
      <c r="FY22" s="65"/>
      <c r="FZ22" s="65"/>
      <c r="GA22" s="65"/>
      <c r="GB22" s="65"/>
      <c r="GC22" s="65"/>
      <c r="GD22" s="65"/>
      <c r="GE22" s="65"/>
      <c r="GF22" s="65"/>
      <c r="GG22" s="65"/>
      <c r="GH22" s="65"/>
      <c r="GI22" s="65"/>
      <c r="GJ22" s="65"/>
      <c r="GK22" s="65"/>
      <c r="GL22" s="65"/>
      <c r="GM22" s="65"/>
    </row>
    <row r="23" ht="15" spans="1:195">
      <c r="A23" s="64"/>
      <c r="B23" s="65"/>
      <c r="C23" s="65"/>
      <c r="D23" s="65"/>
      <c r="E23" s="65"/>
      <c r="F23" s="65"/>
      <c r="G23" s="65"/>
      <c r="H23" s="65"/>
      <c r="I23" s="65"/>
      <c r="J23" s="65"/>
      <c r="K23" s="65"/>
      <c r="L23" s="66"/>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c r="EP23" s="65"/>
      <c r="EQ23" s="65"/>
      <c r="ER23" s="65"/>
      <c r="ES23" s="65"/>
      <c r="ET23" s="65"/>
      <c r="EU23" s="65"/>
      <c r="EV23" s="65"/>
      <c r="EW23" s="65"/>
      <c r="EX23" s="65"/>
      <c r="EY23" s="65"/>
      <c r="EZ23" s="65"/>
      <c r="FA23" s="65"/>
      <c r="FB23" s="65"/>
      <c r="FC23" s="65"/>
      <c r="FD23" s="65"/>
      <c r="FE23" s="65"/>
      <c r="FF23" s="65"/>
      <c r="FG23" s="65"/>
      <c r="FH23" s="65"/>
      <c r="FI23" s="65"/>
      <c r="FJ23" s="65"/>
      <c r="FK23" s="65"/>
      <c r="FL23" s="65"/>
      <c r="FM23" s="65"/>
      <c r="FN23" s="65"/>
      <c r="FO23" s="65"/>
      <c r="FP23" s="65"/>
      <c r="FQ23" s="65"/>
      <c r="FR23" s="65"/>
      <c r="FS23" s="65"/>
      <c r="FT23" s="65"/>
      <c r="FU23" s="65"/>
      <c r="FV23" s="65"/>
      <c r="FW23" s="65"/>
      <c r="FX23" s="65"/>
      <c r="FY23" s="65"/>
      <c r="FZ23" s="65"/>
      <c r="GA23" s="65"/>
      <c r="GB23" s="65"/>
      <c r="GC23" s="65"/>
      <c r="GD23" s="65"/>
      <c r="GE23" s="65"/>
      <c r="GF23" s="65"/>
      <c r="GG23" s="65"/>
      <c r="GH23" s="65"/>
      <c r="GI23" s="65"/>
      <c r="GJ23" s="65"/>
      <c r="GK23" s="65"/>
      <c r="GL23" s="65"/>
      <c r="GM23" s="65"/>
    </row>
    <row r="24" ht="15" spans="1:195">
      <c r="A24" s="64"/>
      <c r="B24" s="65"/>
      <c r="C24" s="65"/>
      <c r="D24" s="65"/>
      <c r="E24" s="65"/>
      <c r="F24" s="65"/>
      <c r="G24" s="65"/>
      <c r="H24" s="65"/>
      <c r="I24" s="65"/>
      <c r="J24" s="65"/>
      <c r="K24" s="65"/>
      <c r="L24" s="66"/>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c r="EP24" s="65"/>
      <c r="EQ24" s="65"/>
      <c r="ER24" s="65"/>
      <c r="ES24" s="65"/>
      <c r="ET24" s="65"/>
      <c r="EU24" s="65"/>
      <c r="EV24" s="65"/>
      <c r="EW24" s="65"/>
      <c r="EX24" s="65"/>
      <c r="EY24" s="65"/>
      <c r="EZ24" s="65"/>
      <c r="FA24" s="65"/>
      <c r="FB24" s="65"/>
      <c r="FC24" s="65"/>
      <c r="FD24" s="65"/>
      <c r="FE24" s="65"/>
      <c r="FF24" s="65"/>
      <c r="FG24" s="65"/>
      <c r="FH24" s="65"/>
      <c r="FI24" s="65"/>
      <c r="FJ24" s="65"/>
      <c r="FK24" s="65"/>
      <c r="FL24" s="65"/>
      <c r="FM24" s="65"/>
      <c r="FN24" s="65"/>
      <c r="FO24" s="65"/>
      <c r="FP24" s="65"/>
      <c r="FQ24" s="65"/>
      <c r="FR24" s="65"/>
      <c r="FS24" s="65"/>
      <c r="FT24" s="65"/>
      <c r="FU24" s="65"/>
      <c r="FV24" s="65"/>
      <c r="FW24" s="65"/>
      <c r="FX24" s="65"/>
      <c r="FY24" s="65"/>
      <c r="FZ24" s="65"/>
      <c r="GA24" s="65"/>
      <c r="GB24" s="65"/>
      <c r="GC24" s="65"/>
      <c r="GD24" s="65"/>
      <c r="GE24" s="65"/>
      <c r="GF24" s="65"/>
      <c r="GG24" s="65"/>
      <c r="GH24" s="65"/>
      <c r="GI24" s="65"/>
      <c r="GJ24" s="65"/>
      <c r="GK24" s="65"/>
      <c r="GL24" s="65"/>
      <c r="GM24" s="65"/>
    </row>
    <row r="25" ht="15" spans="1:195">
      <c r="A25" s="64"/>
      <c r="B25" s="65"/>
      <c r="C25" s="65"/>
      <c r="D25" s="65"/>
      <c r="E25" s="65"/>
      <c r="F25" s="65"/>
      <c r="G25" s="65"/>
      <c r="H25" s="65"/>
      <c r="I25" s="65"/>
      <c r="J25" s="65"/>
      <c r="K25" s="65"/>
      <c r="L25" s="66"/>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row>
    <row r="26" ht="15" spans="1:195">
      <c r="A26" s="64"/>
      <c r="B26" s="65"/>
      <c r="C26" s="65"/>
      <c r="D26" s="65"/>
      <c r="E26" s="65"/>
      <c r="F26" s="65"/>
      <c r="G26" s="65"/>
      <c r="H26" s="65"/>
      <c r="I26" s="65"/>
      <c r="J26" s="65"/>
      <c r="K26" s="65"/>
      <c r="L26" s="66"/>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c r="EP26" s="65"/>
      <c r="EQ26" s="65"/>
      <c r="ER26" s="65"/>
      <c r="ES26" s="65"/>
      <c r="ET26" s="65"/>
      <c r="EU26" s="65"/>
      <c r="EV26" s="65"/>
      <c r="EW26" s="65"/>
      <c r="EX26" s="65"/>
      <c r="EY26" s="65"/>
      <c r="EZ26" s="65"/>
      <c r="FA26" s="65"/>
      <c r="FB26" s="65"/>
      <c r="FC26" s="65"/>
      <c r="FD26" s="65"/>
      <c r="FE26" s="65"/>
      <c r="FF26" s="65"/>
      <c r="FG26" s="65"/>
      <c r="FH26" s="65"/>
      <c r="FI26" s="65"/>
      <c r="FJ26" s="65"/>
      <c r="FK26" s="65"/>
      <c r="FL26" s="65"/>
      <c r="FM26" s="65"/>
      <c r="FN26" s="65"/>
      <c r="FO26" s="65"/>
      <c r="FP26" s="65"/>
      <c r="FQ26" s="65"/>
      <c r="FR26" s="65"/>
      <c r="FS26" s="65"/>
      <c r="FT26" s="65"/>
      <c r="FU26" s="65"/>
      <c r="FV26" s="65"/>
      <c r="FW26" s="65"/>
      <c r="FX26" s="65"/>
      <c r="FY26" s="65"/>
      <c r="FZ26" s="65"/>
      <c r="GA26" s="65"/>
      <c r="GB26" s="65"/>
      <c r="GC26" s="65"/>
      <c r="GD26" s="65"/>
      <c r="GE26" s="65"/>
      <c r="GF26" s="65"/>
      <c r="GG26" s="65"/>
      <c r="GH26" s="65"/>
      <c r="GI26" s="65"/>
      <c r="GJ26" s="65"/>
      <c r="GK26" s="65"/>
      <c r="GL26" s="65"/>
      <c r="GM26" s="65"/>
    </row>
    <row r="27" ht="15" spans="1:195">
      <c r="A27" s="64"/>
      <c r="B27" s="65"/>
      <c r="C27" s="65"/>
      <c r="D27" s="65"/>
      <c r="E27" s="65"/>
      <c r="F27" s="65"/>
      <c r="G27" s="65"/>
      <c r="H27" s="65"/>
      <c r="I27" s="65"/>
      <c r="J27" s="65"/>
      <c r="K27" s="65"/>
      <c r="L27" s="66"/>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c r="EP27" s="65"/>
      <c r="EQ27" s="65"/>
      <c r="ER27" s="65"/>
      <c r="ES27" s="65"/>
      <c r="ET27" s="65"/>
      <c r="EU27" s="65"/>
      <c r="EV27" s="65"/>
      <c r="EW27" s="65"/>
      <c r="EX27" s="65"/>
      <c r="EY27" s="65"/>
      <c r="EZ27" s="65"/>
      <c r="FA27" s="65"/>
      <c r="FB27" s="65"/>
      <c r="FC27" s="65"/>
      <c r="FD27" s="65"/>
      <c r="FE27" s="65"/>
      <c r="FF27" s="65"/>
      <c r="FG27" s="65"/>
      <c r="FH27" s="65"/>
      <c r="FI27" s="65"/>
      <c r="FJ27" s="65"/>
      <c r="FK27" s="65"/>
      <c r="FL27" s="65"/>
      <c r="FM27" s="65"/>
      <c r="FN27" s="65"/>
      <c r="FO27" s="65"/>
      <c r="FP27" s="65"/>
      <c r="FQ27" s="65"/>
      <c r="FR27" s="65"/>
      <c r="FS27" s="65"/>
      <c r="FT27" s="65"/>
      <c r="FU27" s="65"/>
      <c r="FV27" s="65"/>
      <c r="FW27" s="65"/>
      <c r="FX27" s="65"/>
      <c r="FY27" s="65"/>
      <c r="FZ27" s="65"/>
      <c r="GA27" s="65"/>
      <c r="GB27" s="65"/>
      <c r="GC27" s="65"/>
      <c r="GD27" s="65"/>
      <c r="GE27" s="65"/>
      <c r="GF27" s="65"/>
      <c r="GG27" s="65"/>
      <c r="GH27" s="65"/>
      <c r="GI27" s="65"/>
      <c r="GJ27" s="65"/>
      <c r="GK27" s="65"/>
      <c r="GL27" s="65"/>
      <c r="GM27" s="65"/>
    </row>
    <row r="28" ht="15" spans="1:195">
      <c r="A28" s="64"/>
      <c r="B28" s="65"/>
      <c r="C28" s="65"/>
      <c r="D28" s="65"/>
      <c r="E28" s="65"/>
      <c r="F28" s="65"/>
      <c r="G28" s="65"/>
      <c r="H28" s="65"/>
      <c r="I28" s="65"/>
      <c r="J28" s="65"/>
      <c r="K28" s="65"/>
      <c r="L28" s="66"/>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c r="EP28" s="65"/>
      <c r="EQ28" s="65"/>
      <c r="ER28" s="65"/>
      <c r="ES28" s="65"/>
      <c r="ET28" s="65"/>
      <c r="EU28" s="65"/>
      <c r="EV28" s="65"/>
      <c r="EW28" s="65"/>
      <c r="EX28" s="65"/>
      <c r="EY28" s="65"/>
      <c r="EZ28" s="65"/>
      <c r="FA28" s="65"/>
      <c r="FB28" s="65"/>
      <c r="FC28" s="65"/>
      <c r="FD28" s="65"/>
      <c r="FE28" s="65"/>
      <c r="FF28" s="65"/>
      <c r="FG28" s="65"/>
      <c r="FH28" s="65"/>
      <c r="FI28" s="65"/>
      <c r="FJ28" s="65"/>
      <c r="FK28" s="65"/>
      <c r="FL28" s="65"/>
      <c r="FM28" s="65"/>
      <c r="FN28" s="65"/>
      <c r="FO28" s="65"/>
      <c r="FP28" s="65"/>
      <c r="FQ28" s="65"/>
      <c r="FR28" s="65"/>
      <c r="FS28" s="65"/>
      <c r="FT28" s="65"/>
      <c r="FU28" s="65"/>
      <c r="FV28" s="65"/>
      <c r="FW28" s="65"/>
      <c r="FX28" s="65"/>
      <c r="FY28" s="65"/>
      <c r="FZ28" s="65"/>
      <c r="GA28" s="65"/>
      <c r="GB28" s="65"/>
      <c r="GC28" s="65"/>
      <c r="GD28" s="65"/>
      <c r="GE28" s="65"/>
      <c r="GF28" s="65"/>
      <c r="GG28" s="65"/>
      <c r="GH28" s="65"/>
      <c r="GI28" s="65"/>
      <c r="GJ28" s="65"/>
      <c r="GK28" s="65"/>
      <c r="GL28" s="65"/>
      <c r="GM28" s="65"/>
    </row>
    <row r="29" ht="15" spans="1:195">
      <c r="A29" s="64"/>
      <c r="B29" s="65"/>
      <c r="C29" s="65"/>
      <c r="D29" s="65"/>
      <c r="E29" s="65"/>
      <c r="F29" s="65"/>
      <c r="G29" s="65"/>
      <c r="H29" s="65"/>
      <c r="I29" s="65"/>
      <c r="J29" s="65"/>
      <c r="K29" s="65"/>
      <c r="L29" s="66"/>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c r="EP29" s="65"/>
      <c r="EQ29" s="65"/>
      <c r="ER29" s="65"/>
      <c r="ES29" s="65"/>
      <c r="ET29" s="65"/>
      <c r="EU29" s="65"/>
      <c r="EV29" s="65"/>
      <c r="EW29" s="65"/>
      <c r="EX29" s="65"/>
      <c r="EY29" s="65"/>
      <c r="EZ29" s="65"/>
      <c r="FA29" s="65"/>
      <c r="FB29" s="65"/>
      <c r="FC29" s="65"/>
      <c r="FD29" s="65"/>
      <c r="FE29" s="65"/>
      <c r="FF29" s="65"/>
      <c r="FG29" s="65"/>
      <c r="FH29" s="65"/>
      <c r="FI29" s="65"/>
      <c r="FJ29" s="65"/>
      <c r="FK29" s="65"/>
      <c r="FL29" s="65"/>
      <c r="FM29" s="65"/>
      <c r="FN29" s="65"/>
      <c r="FO29" s="65"/>
      <c r="FP29" s="65"/>
      <c r="FQ29" s="65"/>
      <c r="FR29" s="65"/>
      <c r="FS29" s="65"/>
      <c r="FT29" s="65"/>
      <c r="FU29" s="65"/>
      <c r="FV29" s="65"/>
      <c r="FW29" s="65"/>
      <c r="FX29" s="65"/>
      <c r="FY29" s="65"/>
      <c r="FZ29" s="65"/>
      <c r="GA29" s="65"/>
      <c r="GB29" s="65"/>
      <c r="GC29" s="65"/>
      <c r="GD29" s="65"/>
      <c r="GE29" s="65"/>
      <c r="GF29" s="65"/>
      <c r="GG29" s="65"/>
      <c r="GH29" s="65"/>
      <c r="GI29" s="65"/>
      <c r="GJ29" s="65"/>
      <c r="GK29" s="65"/>
      <c r="GL29" s="65"/>
      <c r="GM29" s="65"/>
    </row>
    <row r="30" ht="15" spans="1:195">
      <c r="A30" s="64"/>
      <c r="B30" s="65"/>
      <c r="C30" s="65"/>
      <c r="D30" s="65"/>
      <c r="E30" s="65"/>
      <c r="F30" s="65"/>
      <c r="G30" s="65"/>
      <c r="H30" s="65"/>
      <c r="I30" s="65"/>
      <c r="J30" s="65"/>
      <c r="K30" s="65"/>
      <c r="L30" s="66"/>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c r="ET30" s="65"/>
      <c r="EU30" s="65"/>
      <c r="EV30" s="65"/>
      <c r="EW30" s="65"/>
      <c r="EX30" s="65"/>
      <c r="EY30" s="65"/>
      <c r="EZ30" s="65"/>
      <c r="FA30" s="65"/>
      <c r="FB30" s="65"/>
      <c r="FC30" s="65"/>
      <c r="FD30" s="65"/>
      <c r="FE30" s="65"/>
      <c r="FF30" s="65"/>
      <c r="FG30" s="65"/>
      <c r="FH30" s="65"/>
      <c r="FI30" s="65"/>
      <c r="FJ30" s="65"/>
      <c r="FK30" s="65"/>
      <c r="FL30" s="65"/>
      <c r="FM30" s="65"/>
      <c r="FN30" s="65"/>
      <c r="FO30" s="65"/>
      <c r="FP30" s="65"/>
      <c r="FQ30" s="65"/>
      <c r="FR30" s="65"/>
      <c r="FS30" s="65"/>
      <c r="FT30" s="65"/>
      <c r="FU30" s="65"/>
      <c r="FV30" s="65"/>
      <c r="FW30" s="65"/>
      <c r="FX30" s="65"/>
      <c r="FY30" s="65"/>
      <c r="FZ30" s="65"/>
      <c r="GA30" s="65"/>
      <c r="GB30" s="65"/>
      <c r="GC30" s="65"/>
      <c r="GD30" s="65"/>
      <c r="GE30" s="65"/>
      <c r="GF30" s="65"/>
      <c r="GG30" s="65"/>
      <c r="GH30" s="65"/>
      <c r="GI30" s="65"/>
      <c r="GJ30" s="65"/>
      <c r="GK30" s="65"/>
      <c r="GL30" s="65"/>
      <c r="GM30" s="65"/>
    </row>
    <row r="31" ht="15" spans="1:195">
      <c r="A31" s="64"/>
      <c r="B31" s="65"/>
      <c r="C31" s="65"/>
      <c r="D31" s="65"/>
      <c r="E31" s="65"/>
      <c r="F31" s="65"/>
      <c r="G31" s="65"/>
      <c r="H31" s="65"/>
      <c r="I31" s="65"/>
      <c r="J31" s="65"/>
      <c r="K31" s="65"/>
      <c r="L31" s="66"/>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row>
    <row r="32" ht="15" spans="1:195">
      <c r="A32" s="64"/>
      <c r="B32" s="65"/>
      <c r="C32" s="65"/>
      <c r="D32" s="65"/>
      <c r="E32" s="65"/>
      <c r="F32" s="65"/>
      <c r="G32" s="65"/>
      <c r="H32" s="65"/>
      <c r="I32" s="65"/>
      <c r="J32" s="65"/>
      <c r="K32" s="65"/>
      <c r="L32" s="66"/>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row>
    <row r="33" ht="15" spans="1:195">
      <c r="A33" s="64"/>
      <c r="B33" s="65"/>
      <c r="C33" s="65"/>
      <c r="D33" s="65"/>
      <c r="E33" s="65"/>
      <c r="F33" s="65"/>
      <c r="G33" s="65"/>
      <c r="H33" s="65"/>
      <c r="I33" s="65"/>
      <c r="J33" s="65"/>
      <c r="K33" s="65"/>
      <c r="L33" s="66"/>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row>
    <row r="34" ht="15" spans="1:195">
      <c r="A34" s="64"/>
      <c r="B34" s="65"/>
      <c r="C34" s="65"/>
      <c r="D34" s="65"/>
      <c r="E34" s="65"/>
      <c r="F34" s="65"/>
      <c r="G34" s="65"/>
      <c r="H34" s="65"/>
      <c r="I34" s="65"/>
      <c r="J34" s="65"/>
      <c r="K34" s="65"/>
      <c r="L34" s="66"/>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row>
    <row r="35" ht="15" spans="1:195">
      <c r="A35" s="64"/>
      <c r="B35" s="65"/>
      <c r="C35" s="65"/>
      <c r="D35" s="65"/>
      <c r="E35" s="65"/>
      <c r="F35" s="65"/>
      <c r="G35" s="65"/>
      <c r="H35" s="65"/>
      <c r="I35" s="65"/>
      <c r="J35" s="65"/>
      <c r="K35" s="65"/>
      <c r="L35" s="66"/>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row>
    <row r="36" ht="15" spans="1:195">
      <c r="A36" s="64"/>
      <c r="B36" s="65"/>
      <c r="C36" s="65"/>
      <c r="D36" s="65"/>
      <c r="E36" s="65"/>
      <c r="F36" s="65"/>
      <c r="G36" s="65"/>
      <c r="H36" s="65"/>
      <c r="I36" s="65"/>
      <c r="J36" s="65"/>
      <c r="K36" s="65"/>
      <c r="L36" s="66"/>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row>
    <row r="37" ht="15" spans="1:195">
      <c r="A37" s="64"/>
      <c r="B37" s="65"/>
      <c r="C37" s="65"/>
      <c r="D37" s="65"/>
      <c r="E37" s="65"/>
      <c r="F37" s="65"/>
      <c r="G37" s="65"/>
      <c r="H37" s="65"/>
      <c r="I37" s="65"/>
      <c r="J37" s="65"/>
      <c r="K37" s="65"/>
      <c r="L37" s="66"/>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row>
    <row r="38" ht="15" spans="1:195">
      <c r="A38" s="64"/>
      <c r="B38" s="65"/>
      <c r="C38" s="65"/>
      <c r="D38" s="65"/>
      <c r="E38" s="65"/>
      <c r="F38" s="65"/>
      <c r="G38" s="65"/>
      <c r="H38" s="65"/>
      <c r="I38" s="65"/>
      <c r="J38" s="65"/>
      <c r="K38" s="65"/>
      <c r="L38" s="66"/>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row>
    <row r="39" ht="15" spans="1:195">
      <c r="A39" s="64"/>
      <c r="B39" s="65"/>
      <c r="C39" s="65"/>
      <c r="D39" s="65"/>
      <c r="E39" s="65"/>
      <c r="F39" s="65"/>
      <c r="G39" s="65"/>
      <c r="H39" s="65"/>
      <c r="I39" s="65"/>
      <c r="J39" s="65"/>
      <c r="K39" s="65"/>
      <c r="L39" s="66"/>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row>
    <row r="40" ht="15" spans="1:195">
      <c r="A40" s="64"/>
      <c r="B40" s="65"/>
      <c r="C40" s="65"/>
      <c r="D40" s="65"/>
      <c r="E40" s="65"/>
      <c r="F40" s="65"/>
      <c r="G40" s="65"/>
      <c r="H40" s="65"/>
      <c r="I40" s="65"/>
      <c r="J40" s="65"/>
      <c r="K40" s="65"/>
      <c r="L40" s="66"/>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row>
    <row r="41" ht="15" spans="1:195">
      <c r="A41" s="64"/>
      <c r="B41" s="65"/>
      <c r="C41" s="65"/>
      <c r="D41" s="65"/>
      <c r="E41" s="65"/>
      <c r="F41" s="65"/>
      <c r="G41" s="65"/>
      <c r="H41" s="65"/>
      <c r="I41" s="65"/>
      <c r="J41" s="65"/>
      <c r="K41" s="65"/>
      <c r="L41" s="66"/>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5"/>
      <c r="CA41" s="65"/>
      <c r="CB41" s="65"/>
      <c r="CC41" s="65"/>
      <c r="CD41" s="65"/>
      <c r="CE41" s="65"/>
      <c r="CF41" s="65"/>
      <c r="CG41" s="65"/>
      <c r="CH41" s="65"/>
      <c r="CI41" s="65"/>
      <c r="CJ41" s="65"/>
      <c r="CK41" s="65"/>
      <c r="CL41" s="65"/>
      <c r="CM41" s="65"/>
      <c r="CN41" s="65"/>
      <c r="CO41" s="65"/>
      <c r="CP41" s="6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row>
    <row r="42" ht="15" spans="1:195">
      <c r="A42" s="64"/>
      <c r="B42" s="65"/>
      <c r="C42" s="65"/>
      <c r="D42" s="65"/>
      <c r="E42" s="65"/>
      <c r="F42" s="65"/>
      <c r="G42" s="65"/>
      <c r="H42" s="65"/>
      <c r="I42" s="65"/>
      <c r="J42" s="65"/>
      <c r="K42" s="65"/>
      <c r="L42" s="66"/>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row>
    <row r="43" ht="15" spans="1:195">
      <c r="A43" s="64"/>
      <c r="B43" s="65"/>
      <c r="C43" s="65"/>
      <c r="D43" s="65"/>
      <c r="E43" s="65"/>
      <c r="F43" s="65"/>
      <c r="G43" s="65"/>
      <c r="H43" s="65"/>
      <c r="I43" s="65"/>
      <c r="J43" s="65"/>
      <c r="K43" s="65"/>
      <c r="L43" s="66"/>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5"/>
      <c r="CA43" s="65"/>
      <c r="CB43" s="65"/>
      <c r="CC43" s="65"/>
      <c r="CD43" s="65"/>
      <c r="CE43" s="65"/>
      <c r="CF43" s="65"/>
      <c r="CG43" s="65"/>
      <c r="CH43" s="65"/>
      <c r="CI43" s="65"/>
      <c r="CJ43" s="65"/>
      <c r="CK43" s="65"/>
      <c r="CL43" s="65"/>
      <c r="CM43" s="65"/>
      <c r="CN43" s="65"/>
      <c r="CO43" s="65"/>
      <c r="CP43" s="6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row>
    <row r="44" ht="15" spans="1:195">
      <c r="A44" s="64"/>
      <c r="B44" s="65"/>
      <c r="C44" s="65"/>
      <c r="D44" s="65"/>
      <c r="E44" s="65"/>
      <c r="F44" s="65"/>
      <c r="G44" s="65"/>
      <c r="H44" s="65"/>
      <c r="I44" s="65"/>
      <c r="J44" s="65"/>
      <c r="K44" s="65"/>
      <c r="L44" s="66"/>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W44" s="65"/>
      <c r="BX44" s="65"/>
      <c r="BY44" s="65"/>
      <c r="BZ44" s="65"/>
      <c r="CA44" s="65"/>
      <c r="CB44" s="65"/>
      <c r="CC44" s="65"/>
      <c r="CD44" s="65"/>
      <c r="CE44" s="65"/>
      <c r="CF44" s="65"/>
      <c r="CG44" s="65"/>
      <c r="CH44" s="65"/>
      <c r="CI44" s="65"/>
      <c r="CJ44" s="65"/>
      <c r="CK44" s="65"/>
      <c r="CL44" s="65"/>
      <c r="CM44" s="65"/>
      <c r="CN44" s="65"/>
      <c r="CO44" s="65"/>
      <c r="CP44" s="6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row>
    <row r="45" ht="15" spans="1:195">
      <c r="A45" s="64"/>
      <c r="B45" s="65"/>
      <c r="C45" s="65"/>
      <c r="D45" s="65"/>
      <c r="E45" s="65"/>
      <c r="F45" s="65"/>
      <c r="G45" s="65"/>
      <c r="H45" s="65"/>
      <c r="I45" s="65"/>
      <c r="J45" s="65"/>
      <c r="K45" s="65"/>
      <c r="L45" s="66"/>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5"/>
      <c r="CA45" s="65"/>
      <c r="CB45" s="65"/>
      <c r="CC45" s="65"/>
      <c r="CD45" s="65"/>
      <c r="CE45" s="65"/>
      <c r="CF45" s="65"/>
      <c r="CG45" s="65"/>
      <c r="CH45" s="65"/>
      <c r="CI45" s="65"/>
      <c r="CJ45" s="65"/>
      <c r="CK45" s="65"/>
      <c r="CL45" s="65"/>
      <c r="CM45" s="65"/>
      <c r="CN45" s="65"/>
      <c r="CO45" s="65"/>
      <c r="CP45" s="6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row>
    <row r="46" ht="15" spans="1:195">
      <c r="A46" s="64"/>
      <c r="B46" s="65"/>
      <c r="C46" s="65"/>
      <c r="D46" s="65"/>
      <c r="E46" s="65"/>
      <c r="F46" s="65"/>
      <c r="G46" s="65"/>
      <c r="H46" s="65"/>
      <c r="I46" s="65"/>
      <c r="J46" s="65"/>
      <c r="K46" s="65"/>
      <c r="L46" s="66"/>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row>
    <row r="47" ht="15" spans="1:195">
      <c r="A47" s="64"/>
      <c r="B47" s="65"/>
      <c r="C47" s="65"/>
      <c r="D47" s="65"/>
      <c r="E47" s="65"/>
      <c r="F47" s="65"/>
      <c r="G47" s="65"/>
      <c r="H47" s="65"/>
      <c r="I47" s="65"/>
      <c r="J47" s="65"/>
      <c r="K47" s="65"/>
      <c r="L47" s="66"/>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row>
    <row r="48" ht="15" spans="1:195">
      <c r="A48" s="64"/>
      <c r="B48" s="65"/>
      <c r="C48" s="65"/>
      <c r="D48" s="65"/>
      <c r="E48" s="65"/>
      <c r="F48" s="65"/>
      <c r="G48" s="65"/>
      <c r="H48" s="65"/>
      <c r="I48" s="65"/>
      <c r="J48" s="65"/>
      <c r="K48" s="65"/>
      <c r="L48" s="66"/>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row>
    <row r="49" ht="15" spans="1:195">
      <c r="A49" s="64"/>
      <c r="B49" s="65"/>
      <c r="C49" s="65"/>
      <c r="D49" s="65"/>
      <c r="E49" s="65"/>
      <c r="F49" s="65"/>
      <c r="G49" s="65"/>
      <c r="H49" s="65"/>
      <c r="I49" s="65"/>
      <c r="J49" s="65"/>
      <c r="K49" s="65"/>
      <c r="L49" s="66"/>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row>
    <row r="50" ht="15" spans="1:195">
      <c r="A50" s="64"/>
      <c r="B50" s="65"/>
      <c r="C50" s="65"/>
      <c r="D50" s="65"/>
      <c r="E50" s="65"/>
      <c r="F50" s="65"/>
      <c r="G50" s="65"/>
      <c r="H50" s="65"/>
      <c r="I50" s="65"/>
      <c r="J50" s="65"/>
      <c r="K50" s="65"/>
      <c r="L50" s="66"/>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row>
    <row r="51" ht="15" spans="1:195">
      <c r="A51" s="64"/>
      <c r="B51" s="65"/>
      <c r="C51" s="65"/>
      <c r="D51" s="65"/>
      <c r="E51" s="65"/>
      <c r="F51" s="65"/>
      <c r="G51" s="65"/>
      <c r="H51" s="65"/>
      <c r="I51" s="65"/>
      <c r="J51" s="65"/>
      <c r="K51" s="65"/>
      <c r="L51" s="66"/>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row>
    <row r="52" ht="15" spans="1:195">
      <c r="A52" s="64"/>
      <c r="B52" s="65"/>
      <c r="C52" s="65"/>
      <c r="D52" s="65"/>
      <c r="E52" s="65"/>
      <c r="F52" s="65"/>
      <c r="G52" s="65"/>
      <c r="H52" s="65"/>
      <c r="I52" s="65"/>
      <c r="J52" s="65"/>
      <c r="K52" s="65"/>
      <c r="L52" s="66"/>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5"/>
      <c r="CE52" s="65"/>
      <c r="CF52" s="65"/>
      <c r="CG52" s="65"/>
      <c r="CH52" s="65"/>
      <c r="CI52" s="65"/>
      <c r="CJ52" s="65"/>
      <c r="CK52" s="65"/>
      <c r="CL52" s="65"/>
      <c r="CM52" s="65"/>
      <c r="CN52" s="65"/>
      <c r="CO52" s="65"/>
      <c r="CP52" s="65"/>
      <c r="CQ52" s="65"/>
      <c r="CR52" s="65"/>
      <c r="CS52" s="65"/>
      <c r="CT52" s="65"/>
      <c r="CU52" s="65"/>
      <c r="CV52" s="65"/>
      <c r="CW52" s="65"/>
      <c r="CX52" s="65"/>
      <c r="CY52" s="65"/>
      <c r="CZ52" s="65"/>
      <c r="DA52" s="65"/>
      <c r="DB52" s="65"/>
      <c r="DC52" s="65"/>
      <c r="DD52" s="65"/>
      <c r="DE52" s="65"/>
      <c r="DF52" s="65"/>
      <c r="DG52" s="65"/>
      <c r="DH52" s="65"/>
      <c r="DI52" s="65"/>
      <c r="DJ52" s="65"/>
      <c r="DK52" s="65"/>
      <c r="DL52" s="65"/>
      <c r="DM52" s="65"/>
      <c r="DN52" s="65"/>
      <c r="DO52" s="65"/>
      <c r="DP52" s="65"/>
      <c r="DQ52" s="65"/>
      <c r="DR52" s="65"/>
      <c r="DS52" s="65"/>
      <c r="DT52" s="65"/>
      <c r="DU52" s="65"/>
      <c r="DV52" s="65"/>
      <c r="DW52" s="65"/>
      <c r="DX52" s="65"/>
      <c r="DY52" s="65"/>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row>
    <row r="53" ht="15" spans="1:195">
      <c r="A53" s="64"/>
      <c r="B53" s="65"/>
      <c r="C53" s="65"/>
      <c r="D53" s="65"/>
      <c r="E53" s="65"/>
      <c r="F53" s="65"/>
      <c r="G53" s="65"/>
      <c r="H53" s="65"/>
      <c r="I53" s="65"/>
      <c r="J53" s="65"/>
      <c r="K53" s="65"/>
      <c r="L53" s="66"/>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5"/>
      <c r="CE53" s="65"/>
      <c r="CF53" s="65"/>
      <c r="CG53" s="65"/>
      <c r="CH53" s="65"/>
      <c r="CI53" s="65"/>
      <c r="CJ53" s="65"/>
      <c r="CK53" s="65"/>
      <c r="CL53" s="65"/>
      <c r="CM53" s="65"/>
      <c r="CN53" s="65"/>
      <c r="CO53" s="65"/>
      <c r="CP53" s="65"/>
      <c r="CQ53" s="65"/>
      <c r="CR53" s="65"/>
      <c r="CS53" s="65"/>
      <c r="CT53" s="65"/>
      <c r="CU53" s="65"/>
      <c r="CV53" s="65"/>
      <c r="CW53" s="65"/>
      <c r="CX53" s="65"/>
      <c r="CY53" s="65"/>
      <c r="CZ53" s="65"/>
      <c r="DA53" s="65"/>
      <c r="DB53" s="65"/>
      <c r="DC53" s="65"/>
      <c r="DD53" s="65"/>
      <c r="DE53" s="65"/>
      <c r="DF53" s="65"/>
      <c r="DG53" s="65"/>
      <c r="DH53" s="65"/>
      <c r="DI53" s="65"/>
      <c r="DJ53" s="65"/>
      <c r="DK53" s="65"/>
      <c r="DL53" s="65"/>
      <c r="DM53" s="65"/>
      <c r="DN53" s="65"/>
      <c r="DO53" s="65"/>
      <c r="DP53" s="65"/>
      <c r="DQ53" s="65"/>
      <c r="DR53" s="65"/>
      <c r="DS53" s="65"/>
      <c r="DT53" s="65"/>
      <c r="DU53" s="65"/>
      <c r="DV53" s="65"/>
      <c r="DW53" s="65"/>
      <c r="DX53" s="65"/>
      <c r="DY53" s="65"/>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row>
    <row r="54" ht="15" spans="1:195">
      <c r="A54" s="64"/>
      <c r="B54" s="65"/>
      <c r="C54" s="65"/>
      <c r="D54" s="65"/>
      <c r="E54" s="65"/>
      <c r="F54" s="65"/>
      <c r="G54" s="65"/>
      <c r="H54" s="65"/>
      <c r="I54" s="65"/>
      <c r="J54" s="65"/>
      <c r="K54" s="65"/>
      <c r="L54" s="66"/>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5"/>
      <c r="CE54" s="65"/>
      <c r="CF54" s="65"/>
      <c r="CG54" s="65"/>
      <c r="CH54" s="65"/>
      <c r="CI54" s="65"/>
      <c r="CJ54" s="65"/>
      <c r="CK54" s="65"/>
      <c r="CL54" s="65"/>
      <c r="CM54" s="65"/>
      <c r="CN54" s="65"/>
      <c r="CO54" s="65"/>
      <c r="CP54" s="65"/>
      <c r="CQ54" s="65"/>
      <c r="CR54" s="65"/>
      <c r="CS54" s="65"/>
      <c r="CT54" s="65"/>
      <c r="CU54" s="65"/>
      <c r="CV54" s="65"/>
      <c r="CW54" s="65"/>
      <c r="CX54" s="65"/>
      <c r="CY54" s="65"/>
      <c r="CZ54" s="65"/>
      <c r="DA54" s="65"/>
      <c r="DB54" s="65"/>
      <c r="DC54" s="65"/>
      <c r="DD54" s="65"/>
      <c r="DE54" s="65"/>
      <c r="DF54" s="65"/>
      <c r="DG54" s="65"/>
      <c r="DH54" s="65"/>
      <c r="DI54" s="65"/>
      <c r="DJ54" s="65"/>
      <c r="DK54" s="65"/>
      <c r="DL54" s="65"/>
      <c r="DM54" s="65"/>
      <c r="DN54" s="65"/>
      <c r="DO54" s="65"/>
      <c r="DP54" s="65"/>
      <c r="DQ54" s="65"/>
      <c r="DR54" s="65"/>
      <c r="DS54" s="65"/>
      <c r="DT54" s="65"/>
      <c r="DU54" s="65"/>
      <c r="DV54" s="65"/>
      <c r="DW54" s="65"/>
      <c r="DX54" s="65"/>
      <c r="DY54" s="65"/>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row>
  </sheetData>
  <pageMargins left="0.7" right="0.7" top="0.75" bottom="0.75" header="0.3" footer="0.3"/>
  <pageSetup paperSize="9" orientation="portrait"/>
  <headerFooter/>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2:G62"/>
  <sheetViews>
    <sheetView workbookViewId="0">
      <selection activeCell="B13" sqref="B13"/>
    </sheetView>
  </sheetViews>
  <sheetFormatPr defaultColWidth="9" defaultRowHeight="13.5" outlineLevelCol="6"/>
  <cols>
    <col min="1" max="1" width="3.85833333333333" customWidth="1"/>
    <col min="2" max="2" width="17.8583333333333" customWidth="1"/>
    <col min="3" max="3" width="128.141666666667" customWidth="1"/>
    <col min="4" max="4" width="10.5666666666667" customWidth="1"/>
    <col min="5" max="6" width="6.425" customWidth="1"/>
  </cols>
  <sheetData>
    <row r="2" spans="2:6">
      <c r="B2" s="46" t="s">
        <v>306</v>
      </c>
      <c r="C2" s="47" t="s">
        <v>307</v>
      </c>
      <c r="D2" s="48" t="s">
        <v>308</v>
      </c>
      <c r="E2" s="49" t="s">
        <v>309</v>
      </c>
      <c r="F2" s="49" t="s">
        <v>310</v>
      </c>
    </row>
    <row r="3" spans="2:6">
      <c r="B3" s="50" t="s">
        <v>311</v>
      </c>
      <c r="C3" s="51" t="s">
        <v>15</v>
      </c>
      <c r="D3" s="52">
        <v>1</v>
      </c>
      <c r="E3" s="53">
        <v>1</v>
      </c>
      <c r="F3" s="52"/>
    </row>
    <row r="4" spans="2:6">
      <c r="B4" s="50" t="s">
        <v>311</v>
      </c>
      <c r="C4" s="54" t="s">
        <v>18</v>
      </c>
      <c r="D4" s="52">
        <v>2</v>
      </c>
      <c r="E4" s="53">
        <v>1</v>
      </c>
      <c r="F4" s="52"/>
    </row>
    <row r="5" spans="2:6">
      <c r="B5" s="50" t="s">
        <v>311</v>
      </c>
      <c r="C5" s="54" t="s">
        <v>21</v>
      </c>
      <c r="D5" s="52">
        <v>3</v>
      </c>
      <c r="E5" s="53">
        <v>1</v>
      </c>
      <c r="F5" s="52"/>
    </row>
    <row r="6" spans="2:6">
      <c r="B6" s="50" t="s">
        <v>311</v>
      </c>
      <c r="C6" s="54" t="s">
        <v>24</v>
      </c>
      <c r="D6" s="52">
        <v>4</v>
      </c>
      <c r="E6" s="53">
        <v>1</v>
      </c>
      <c r="F6" s="52"/>
    </row>
    <row r="7" spans="2:6">
      <c r="B7" s="50" t="s">
        <v>311</v>
      </c>
      <c r="C7" s="54" t="s">
        <v>27</v>
      </c>
      <c r="D7" s="52">
        <v>5</v>
      </c>
      <c r="E7" s="53">
        <v>1</v>
      </c>
      <c r="F7" s="52"/>
    </row>
    <row r="8" spans="2:6">
      <c r="B8" s="50" t="s">
        <v>311</v>
      </c>
      <c r="C8" s="54" t="s">
        <v>30</v>
      </c>
      <c r="D8" s="52">
        <v>6</v>
      </c>
      <c r="E8" s="53">
        <v>1</v>
      </c>
      <c r="F8" s="52"/>
    </row>
    <row r="9" spans="2:6">
      <c r="B9" s="50" t="s">
        <v>311</v>
      </c>
      <c r="C9" s="54" t="s">
        <v>33</v>
      </c>
      <c r="D9" s="52">
        <v>7</v>
      </c>
      <c r="E9" s="53">
        <v>1</v>
      </c>
      <c r="F9" s="52"/>
    </row>
    <row r="10" spans="2:6">
      <c r="B10" s="50" t="s">
        <v>311</v>
      </c>
      <c r="C10" s="54" t="s">
        <v>36</v>
      </c>
      <c r="D10" s="52">
        <v>8</v>
      </c>
      <c r="E10" s="53">
        <v>1</v>
      </c>
      <c r="F10" s="52"/>
    </row>
    <row r="11" spans="2:6">
      <c r="B11" s="50" t="s">
        <v>311</v>
      </c>
      <c r="C11" s="54" t="s">
        <v>39</v>
      </c>
      <c r="D11" s="52">
        <v>9</v>
      </c>
      <c r="E11" s="53">
        <v>1</v>
      </c>
      <c r="F11" s="52"/>
    </row>
    <row r="12" spans="2:6">
      <c r="B12" s="50" t="s">
        <v>311</v>
      </c>
      <c r="C12" s="54" t="s">
        <v>42</v>
      </c>
      <c r="D12" s="52">
        <v>10</v>
      </c>
      <c r="E12" s="53">
        <v>1</v>
      </c>
      <c r="F12" s="52"/>
    </row>
    <row r="13" spans="2:6">
      <c r="B13" s="50" t="s">
        <v>311</v>
      </c>
      <c r="C13" s="54" t="s">
        <v>45</v>
      </c>
      <c r="D13" s="52">
        <v>11</v>
      </c>
      <c r="E13" s="53">
        <v>1</v>
      </c>
      <c r="F13" s="52"/>
    </row>
    <row r="14" spans="2:6">
      <c r="B14" s="50" t="s">
        <v>311</v>
      </c>
      <c r="C14" s="54" t="s">
        <v>48</v>
      </c>
      <c r="D14" s="52">
        <v>12</v>
      </c>
      <c r="E14" s="53">
        <v>1</v>
      </c>
      <c r="F14" s="52">
        <f>SUM(E3:E14)</f>
        <v>12</v>
      </c>
    </row>
    <row r="15" spans="2:6">
      <c r="B15" s="55" t="s">
        <v>312</v>
      </c>
      <c r="C15" s="56" t="s">
        <v>51</v>
      </c>
      <c r="D15" s="52">
        <v>13</v>
      </c>
      <c r="E15" s="53">
        <v>1</v>
      </c>
      <c r="F15" s="52"/>
    </row>
    <row r="16" spans="2:6">
      <c r="B16" s="55" t="s">
        <v>312</v>
      </c>
      <c r="C16" s="56" t="s">
        <v>54</v>
      </c>
      <c r="D16" s="52">
        <v>14</v>
      </c>
      <c r="E16" s="53">
        <v>1</v>
      </c>
      <c r="F16" s="52"/>
    </row>
    <row r="17" spans="2:6">
      <c r="B17" s="55" t="s">
        <v>312</v>
      </c>
      <c r="C17" s="56" t="s">
        <v>57</v>
      </c>
      <c r="D17" s="52">
        <v>15</v>
      </c>
      <c r="E17" s="53">
        <v>1</v>
      </c>
      <c r="F17" s="52"/>
    </row>
    <row r="18" spans="2:6">
      <c r="B18" s="55" t="s">
        <v>312</v>
      </c>
      <c r="C18" s="56" t="s">
        <v>60</v>
      </c>
      <c r="D18" s="52">
        <v>16</v>
      </c>
      <c r="E18" s="53">
        <v>1</v>
      </c>
      <c r="F18" s="52"/>
    </row>
    <row r="19" spans="2:6">
      <c r="B19" s="55" t="s">
        <v>312</v>
      </c>
      <c r="C19" s="56" t="s">
        <v>63</v>
      </c>
      <c r="D19" s="52">
        <v>17</v>
      </c>
      <c r="E19" s="53">
        <v>1</v>
      </c>
      <c r="F19" s="52"/>
    </row>
    <row r="20" spans="2:6">
      <c r="B20" s="55" t="s">
        <v>312</v>
      </c>
      <c r="C20" s="56" t="s">
        <v>66</v>
      </c>
      <c r="D20" s="52">
        <v>18</v>
      </c>
      <c r="E20" s="53">
        <v>1</v>
      </c>
      <c r="F20" s="52"/>
    </row>
    <row r="21" spans="2:6">
      <c r="B21" s="55" t="s">
        <v>312</v>
      </c>
      <c r="C21" s="56" t="s">
        <v>69</v>
      </c>
      <c r="D21" s="52">
        <v>19</v>
      </c>
      <c r="E21" s="53">
        <v>1</v>
      </c>
      <c r="F21" s="52"/>
    </row>
    <row r="22" spans="2:6">
      <c r="B22" s="55" t="s">
        <v>312</v>
      </c>
      <c r="C22" s="56" t="s">
        <v>72</v>
      </c>
      <c r="D22" s="52">
        <v>20</v>
      </c>
      <c r="E22" s="53">
        <v>1</v>
      </c>
      <c r="F22" s="52"/>
    </row>
    <row r="23" spans="2:6">
      <c r="B23" s="55" t="s">
        <v>312</v>
      </c>
      <c r="C23" s="56" t="s">
        <v>75</v>
      </c>
      <c r="D23" s="52">
        <v>21</v>
      </c>
      <c r="E23" s="53">
        <v>1</v>
      </c>
      <c r="F23" s="52"/>
    </row>
    <row r="24" spans="2:6">
      <c r="B24" s="55" t="s">
        <v>312</v>
      </c>
      <c r="C24" s="56" t="s">
        <v>78</v>
      </c>
      <c r="D24" s="52">
        <v>22</v>
      </c>
      <c r="E24" s="53">
        <v>1</v>
      </c>
      <c r="F24" s="52"/>
    </row>
    <row r="25" spans="2:6">
      <c r="B25" s="55" t="s">
        <v>312</v>
      </c>
      <c r="C25" s="56" t="s">
        <v>81</v>
      </c>
      <c r="D25" s="52">
        <v>23</v>
      </c>
      <c r="E25" s="53">
        <v>1</v>
      </c>
      <c r="F25" s="52"/>
    </row>
    <row r="26" spans="2:6">
      <c r="B26" s="55" t="s">
        <v>312</v>
      </c>
      <c r="C26" s="56" t="s">
        <v>84</v>
      </c>
      <c r="D26" s="52">
        <v>24</v>
      </c>
      <c r="E26" s="53">
        <v>1</v>
      </c>
      <c r="F26" s="52">
        <f>SUM(E15:E26)</f>
        <v>12</v>
      </c>
    </row>
    <row r="27" spans="2:6">
      <c r="B27" s="57" t="s">
        <v>313</v>
      </c>
      <c r="C27" s="58" t="s">
        <v>314</v>
      </c>
      <c r="D27" s="52">
        <v>25</v>
      </c>
      <c r="E27" s="53">
        <v>1</v>
      </c>
      <c r="F27" s="52"/>
    </row>
    <row r="28" spans="2:6">
      <c r="B28" s="57" t="s">
        <v>313</v>
      </c>
      <c r="C28" s="58" t="s">
        <v>90</v>
      </c>
      <c r="D28" s="52">
        <v>26</v>
      </c>
      <c r="E28" s="53">
        <v>1</v>
      </c>
      <c r="F28" s="52"/>
    </row>
    <row r="29" spans="2:6">
      <c r="B29" s="57" t="s">
        <v>313</v>
      </c>
      <c r="C29" s="58" t="s">
        <v>93</v>
      </c>
      <c r="D29" s="52">
        <v>27</v>
      </c>
      <c r="E29" s="53">
        <v>1</v>
      </c>
      <c r="F29" s="52"/>
    </row>
    <row r="30" spans="2:6">
      <c r="B30" s="57" t="s">
        <v>313</v>
      </c>
      <c r="C30" s="58" t="s">
        <v>96</v>
      </c>
      <c r="D30" s="52">
        <v>28</v>
      </c>
      <c r="E30" s="53">
        <v>1</v>
      </c>
      <c r="F30" s="52"/>
    </row>
    <row r="31" spans="2:6">
      <c r="B31" s="57" t="s">
        <v>313</v>
      </c>
      <c r="C31" s="58" t="s">
        <v>99</v>
      </c>
      <c r="D31" s="52">
        <v>29</v>
      </c>
      <c r="E31" s="53">
        <v>1</v>
      </c>
      <c r="F31" s="52"/>
    </row>
    <row r="32" spans="2:6">
      <c r="B32" s="57" t="s">
        <v>313</v>
      </c>
      <c r="C32" s="58" t="s">
        <v>102</v>
      </c>
      <c r="D32" s="52">
        <v>30</v>
      </c>
      <c r="E32" s="53">
        <v>1</v>
      </c>
      <c r="F32" s="52"/>
    </row>
    <row r="33" spans="2:6">
      <c r="B33" s="57" t="s">
        <v>313</v>
      </c>
      <c r="C33" s="58" t="s">
        <v>105</v>
      </c>
      <c r="D33" s="52">
        <v>31</v>
      </c>
      <c r="E33" s="53">
        <v>1</v>
      </c>
      <c r="F33" s="52"/>
    </row>
    <row r="34" spans="2:6">
      <c r="B34" s="57" t="s">
        <v>313</v>
      </c>
      <c r="C34" s="58" t="s">
        <v>108</v>
      </c>
      <c r="D34" s="52">
        <v>32</v>
      </c>
      <c r="E34" s="53">
        <v>1</v>
      </c>
      <c r="F34" s="52"/>
    </row>
    <row r="35" spans="2:6">
      <c r="B35" s="57" t="s">
        <v>313</v>
      </c>
      <c r="C35" s="58" t="s">
        <v>111</v>
      </c>
      <c r="D35" s="52">
        <v>33</v>
      </c>
      <c r="E35" s="53">
        <v>1</v>
      </c>
      <c r="F35" s="52"/>
    </row>
    <row r="36" spans="2:6">
      <c r="B36" s="57" t="s">
        <v>313</v>
      </c>
      <c r="C36" s="58" t="s">
        <v>114</v>
      </c>
      <c r="D36" s="52">
        <v>34</v>
      </c>
      <c r="E36" s="53">
        <v>1</v>
      </c>
      <c r="F36" s="52"/>
    </row>
    <row r="37" spans="2:6">
      <c r="B37" s="57" t="s">
        <v>313</v>
      </c>
      <c r="C37" s="58" t="s">
        <v>117</v>
      </c>
      <c r="D37" s="52">
        <v>35</v>
      </c>
      <c r="E37" s="53">
        <v>1</v>
      </c>
      <c r="F37" s="52"/>
    </row>
    <row r="38" spans="2:6">
      <c r="B38" s="57" t="s">
        <v>313</v>
      </c>
      <c r="C38" s="58" t="s">
        <v>120</v>
      </c>
      <c r="D38" s="52">
        <v>36</v>
      </c>
      <c r="E38" s="53">
        <v>1</v>
      </c>
      <c r="F38" s="52">
        <f>SUM(E27:E38)</f>
        <v>12</v>
      </c>
    </row>
    <row r="39" spans="2:6">
      <c r="B39" s="59" t="s">
        <v>315</v>
      </c>
      <c r="C39" s="59" t="s">
        <v>123</v>
      </c>
      <c r="D39" s="52">
        <v>37</v>
      </c>
      <c r="E39" s="53">
        <v>1</v>
      </c>
      <c r="F39" s="52"/>
    </row>
    <row r="40" spans="2:6">
      <c r="B40" s="59" t="s">
        <v>315</v>
      </c>
      <c r="C40" s="59" t="s">
        <v>126</v>
      </c>
      <c r="D40" s="52">
        <v>38</v>
      </c>
      <c r="E40" s="53">
        <v>1</v>
      </c>
      <c r="F40" s="52"/>
    </row>
    <row r="41" spans="2:6">
      <c r="B41" s="59" t="s">
        <v>315</v>
      </c>
      <c r="C41" s="59" t="s">
        <v>129</v>
      </c>
      <c r="D41" s="52">
        <v>39</v>
      </c>
      <c r="E41" s="53">
        <v>1</v>
      </c>
      <c r="F41" s="52"/>
    </row>
    <row r="42" spans="2:6">
      <c r="B42" s="59" t="s">
        <v>315</v>
      </c>
      <c r="C42" s="59" t="s">
        <v>132</v>
      </c>
      <c r="D42" s="52">
        <v>40</v>
      </c>
      <c r="E42" s="53">
        <v>1</v>
      </c>
      <c r="F42" s="52"/>
    </row>
    <row r="43" spans="2:6">
      <c r="B43" s="59" t="s">
        <v>315</v>
      </c>
      <c r="C43" s="59" t="s">
        <v>135</v>
      </c>
      <c r="D43" s="52">
        <v>41</v>
      </c>
      <c r="E43" s="53">
        <v>1</v>
      </c>
      <c r="F43" s="52"/>
    </row>
    <row r="44" spans="2:6">
      <c r="B44" s="59" t="s">
        <v>315</v>
      </c>
      <c r="C44" s="59" t="s">
        <v>138</v>
      </c>
      <c r="D44" s="52">
        <v>42</v>
      </c>
      <c r="E44" s="53">
        <v>1</v>
      </c>
      <c r="F44" s="52"/>
    </row>
    <row r="45" spans="2:6">
      <c r="B45" s="59" t="s">
        <v>315</v>
      </c>
      <c r="C45" s="59" t="s">
        <v>141</v>
      </c>
      <c r="D45" s="52">
        <v>43</v>
      </c>
      <c r="E45" s="53">
        <v>1</v>
      </c>
      <c r="F45" s="52"/>
    </row>
    <row r="46" spans="2:6">
      <c r="B46" s="59" t="s">
        <v>315</v>
      </c>
      <c r="C46" s="59" t="s">
        <v>144</v>
      </c>
      <c r="D46" s="52">
        <v>44</v>
      </c>
      <c r="E46" s="53">
        <v>1</v>
      </c>
      <c r="F46" s="52"/>
    </row>
    <row r="47" spans="2:6">
      <c r="B47" s="59" t="s">
        <v>315</v>
      </c>
      <c r="C47" s="59" t="s">
        <v>147</v>
      </c>
      <c r="D47" s="52">
        <v>45</v>
      </c>
      <c r="E47" s="53">
        <v>1</v>
      </c>
      <c r="F47" s="52"/>
    </row>
    <row r="48" spans="2:6">
      <c r="B48" s="59" t="s">
        <v>315</v>
      </c>
      <c r="C48" s="59" t="s">
        <v>150</v>
      </c>
      <c r="D48" s="52">
        <v>46</v>
      </c>
      <c r="E48" s="53">
        <v>1</v>
      </c>
      <c r="F48" s="52"/>
    </row>
    <row r="49" spans="2:7">
      <c r="B49" s="59" t="s">
        <v>315</v>
      </c>
      <c r="C49" s="59" t="s">
        <v>153</v>
      </c>
      <c r="D49" s="52">
        <v>47</v>
      </c>
      <c r="E49" s="53">
        <v>1</v>
      </c>
      <c r="F49" s="52"/>
    </row>
    <row r="50" spans="2:7">
      <c r="B50" s="59" t="s">
        <v>315</v>
      </c>
      <c r="C50" s="59" t="s">
        <v>156</v>
      </c>
      <c r="D50" s="52">
        <v>48</v>
      </c>
      <c r="E50" s="53">
        <v>1</v>
      </c>
      <c r="F50" s="52">
        <f>SUM(E39:E50)</f>
        <v>12</v>
      </c>
    </row>
    <row r="51" spans="2:7">
      <c r="B51" s="60" t="s">
        <v>316</v>
      </c>
      <c r="C51" s="61" t="s">
        <v>159</v>
      </c>
      <c r="D51" s="52">
        <v>49</v>
      </c>
      <c r="E51" s="53">
        <v>1</v>
      </c>
      <c r="F51" s="52"/>
    </row>
    <row r="52" spans="2:7">
      <c r="B52" s="60" t="s">
        <v>316</v>
      </c>
      <c r="C52" s="61" t="s">
        <v>162</v>
      </c>
      <c r="D52" s="52">
        <v>50</v>
      </c>
      <c r="E52" s="53">
        <v>1</v>
      </c>
      <c r="F52" s="52"/>
    </row>
    <row r="53" spans="2:7">
      <c r="B53" s="60" t="s">
        <v>316</v>
      </c>
      <c r="C53" s="61" t="s">
        <v>165</v>
      </c>
      <c r="D53" s="52">
        <v>51</v>
      </c>
      <c r="E53" s="53">
        <v>1</v>
      </c>
      <c r="F53" s="52"/>
    </row>
    <row r="54" spans="2:7">
      <c r="B54" s="60" t="s">
        <v>316</v>
      </c>
      <c r="C54" s="61" t="s">
        <v>168</v>
      </c>
      <c r="D54" s="52">
        <v>52</v>
      </c>
      <c r="E54" s="53">
        <v>1</v>
      </c>
      <c r="F54" s="52"/>
    </row>
    <row r="55" spans="2:7">
      <c r="B55" s="60" t="s">
        <v>316</v>
      </c>
      <c r="C55" s="61" t="s">
        <v>171</v>
      </c>
      <c r="D55" s="52">
        <v>53</v>
      </c>
      <c r="E55" s="53">
        <v>1</v>
      </c>
      <c r="F55" s="52"/>
    </row>
    <row r="56" spans="2:7">
      <c r="B56" s="60" t="s">
        <v>316</v>
      </c>
      <c r="C56" s="61" t="s">
        <v>174</v>
      </c>
      <c r="D56" s="52">
        <v>54</v>
      </c>
      <c r="E56" s="53">
        <v>1</v>
      </c>
      <c r="F56" s="52"/>
    </row>
    <row r="57" spans="2:7">
      <c r="B57" s="60" t="s">
        <v>316</v>
      </c>
      <c r="C57" s="61" t="s">
        <v>177</v>
      </c>
      <c r="D57" s="52">
        <v>55</v>
      </c>
      <c r="E57" s="53">
        <v>1</v>
      </c>
      <c r="F57" s="52"/>
    </row>
    <row r="58" spans="2:7">
      <c r="B58" s="60" t="s">
        <v>316</v>
      </c>
      <c r="C58" s="61" t="s">
        <v>180</v>
      </c>
      <c r="D58" s="52">
        <v>56</v>
      </c>
      <c r="E58" s="53">
        <v>1</v>
      </c>
      <c r="F58" s="52"/>
    </row>
    <row r="59" spans="2:7">
      <c r="B59" s="60" t="s">
        <v>316</v>
      </c>
      <c r="C59" s="61" t="s">
        <v>183</v>
      </c>
      <c r="D59" s="52">
        <v>57</v>
      </c>
      <c r="E59" s="53">
        <v>1</v>
      </c>
      <c r="F59" s="52"/>
    </row>
    <row r="60" spans="2:7">
      <c r="B60" s="60" t="s">
        <v>316</v>
      </c>
      <c r="C60" s="61" t="s">
        <v>186</v>
      </c>
      <c r="D60" s="52">
        <v>58</v>
      </c>
      <c r="E60" s="53">
        <v>1</v>
      </c>
      <c r="F60" s="52"/>
    </row>
    <row r="61" spans="2:7">
      <c r="B61" s="60" t="s">
        <v>316</v>
      </c>
      <c r="C61" s="61" t="s">
        <v>189</v>
      </c>
      <c r="D61" s="52">
        <v>59</v>
      </c>
      <c r="E61" s="53">
        <v>1</v>
      </c>
      <c r="F61" s="52"/>
    </row>
    <row r="62" spans="2:7">
      <c r="B62" s="60" t="s">
        <v>316</v>
      </c>
      <c r="C62" s="61" t="s">
        <v>192</v>
      </c>
      <c r="D62" s="52">
        <v>60</v>
      </c>
      <c r="E62" s="53">
        <v>1</v>
      </c>
      <c r="F62" s="52">
        <f>SUM(E51:E62)</f>
        <v>12</v>
      </c>
      <c r="G62">
        <v>60</v>
      </c>
    </row>
  </sheetData>
  <pageMargins left="0.7" right="0.7" top="0.75" bottom="0.75" header="0.3" footer="0.3"/>
  <headerFooter/>
  <ignoredErrors>
    <ignoredError sqref="F14 F26 F38 F50" formulaRange="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2:H56"/>
  <sheetViews>
    <sheetView tabSelected="1" workbookViewId="0">
      <selection activeCell="F23" sqref="F23"/>
    </sheetView>
  </sheetViews>
  <sheetFormatPr defaultColWidth="8.85833333333333" defaultRowHeight="13.5" customHeight="1" outlineLevelCol="7"/>
  <cols>
    <col min="1" max="1" width="3.425" customWidth="1"/>
    <col min="2" max="8" width="26.5666666666667" customWidth="1"/>
  </cols>
  <sheetData>
    <row r="2" spans="1:8">
      <c r="B2" s="27" t="s">
        <v>11</v>
      </c>
      <c r="C2" s="28" t="s">
        <v>311</v>
      </c>
      <c r="D2" s="29" t="s">
        <v>312</v>
      </c>
      <c r="E2" s="30" t="s">
        <v>313</v>
      </c>
      <c r="F2" s="31" t="s">
        <v>315</v>
      </c>
      <c r="G2" s="32" t="s">
        <v>316</v>
      </c>
      <c r="H2" s="33" t="s">
        <v>317</v>
      </c>
    </row>
    <row r="3" spans="1:8">
      <c r="B3" s="42" t="s">
        <v>318</v>
      </c>
      <c r="C3" s="43">
        <v>9</v>
      </c>
      <c r="D3" s="43">
        <v>11</v>
      </c>
      <c r="E3" s="43">
        <v>12</v>
      </c>
      <c r="F3" s="43">
        <v>12</v>
      </c>
      <c r="G3" s="43">
        <v>11</v>
      </c>
      <c r="H3" s="43">
        <v>55</v>
      </c>
    </row>
    <row r="4" ht="15" spans="1:8">
      <c r="B4" s="44" t="s">
        <v>319</v>
      </c>
      <c r="C4" s="43">
        <v>7</v>
      </c>
      <c r="D4" s="43">
        <v>7</v>
      </c>
      <c r="E4" s="43">
        <v>9</v>
      </c>
      <c r="F4" s="43">
        <v>6</v>
      </c>
      <c r="G4" s="43">
        <v>5</v>
      </c>
      <c r="H4" s="43">
        <v>34</v>
      </c>
    </row>
    <row r="5" ht="15" spans="1:8">
      <c r="B5" s="44" t="s">
        <v>320</v>
      </c>
      <c r="C5" s="43">
        <v>7</v>
      </c>
      <c r="D5" s="43">
        <v>10</v>
      </c>
      <c r="E5" s="43">
        <v>11</v>
      </c>
      <c r="F5" s="43">
        <v>10</v>
      </c>
      <c r="G5" s="43">
        <v>10</v>
      </c>
      <c r="H5" s="43">
        <v>48</v>
      </c>
    </row>
    <row r="6" ht="15" spans="1:8">
      <c r="B6" s="44" t="s">
        <v>321</v>
      </c>
      <c r="C6" s="43">
        <v>8</v>
      </c>
      <c r="D6" s="43">
        <v>11</v>
      </c>
      <c r="E6" s="43">
        <v>11</v>
      </c>
      <c r="F6" s="43">
        <v>9</v>
      </c>
      <c r="G6" s="43">
        <v>7</v>
      </c>
      <c r="H6" s="43">
        <v>46</v>
      </c>
    </row>
    <row r="7" customHeight="1" spans="1:8">
      <c r="B7" s="44" t="s">
        <v>322</v>
      </c>
      <c r="C7" s="43">
        <v>8</v>
      </c>
      <c r="D7" s="43">
        <v>8</v>
      </c>
      <c r="E7" s="43">
        <v>10</v>
      </c>
      <c r="F7" s="43">
        <v>8</v>
      </c>
      <c r="G7" s="43">
        <v>8</v>
      </c>
      <c r="H7" s="43">
        <v>42</v>
      </c>
    </row>
    <row r="8" customHeight="1" spans="1:8">
      <c r="A8" s="38"/>
      <c r="B8" s="44" t="s">
        <v>323</v>
      </c>
      <c r="C8" s="43">
        <v>8</v>
      </c>
      <c r="D8" s="43">
        <v>10</v>
      </c>
      <c r="E8" s="43">
        <v>12</v>
      </c>
      <c r="F8" s="43">
        <v>6</v>
      </c>
      <c r="G8" s="43">
        <v>6</v>
      </c>
      <c r="H8" s="43">
        <v>42</v>
      </c>
    </row>
    <row r="9" customHeight="1" spans="1:8">
      <c r="A9" s="38"/>
      <c r="B9" s="44" t="s">
        <v>324</v>
      </c>
      <c r="C9" s="43">
        <v>8</v>
      </c>
      <c r="D9" s="43">
        <v>11</v>
      </c>
      <c r="E9" s="43">
        <v>11</v>
      </c>
      <c r="F9" s="43">
        <v>8</v>
      </c>
      <c r="G9" s="43">
        <v>10</v>
      </c>
      <c r="H9" s="43">
        <v>48</v>
      </c>
    </row>
    <row r="10" customHeight="1" spans="1:8">
      <c r="B10" s="44" t="s">
        <v>325</v>
      </c>
      <c r="C10" s="43">
        <v>6</v>
      </c>
      <c r="D10" s="43">
        <v>7</v>
      </c>
      <c r="E10" s="43">
        <v>10</v>
      </c>
      <c r="F10" s="43">
        <v>9</v>
      </c>
      <c r="G10" s="43">
        <v>7</v>
      </c>
      <c r="H10" s="43">
        <v>39</v>
      </c>
    </row>
    <row r="11" customHeight="1" spans="1:8">
      <c r="B11" s="44" t="s">
        <v>326</v>
      </c>
      <c r="C11" s="43">
        <v>7</v>
      </c>
      <c r="D11" s="43">
        <v>11</v>
      </c>
      <c r="E11" s="43">
        <v>10</v>
      </c>
      <c r="F11" s="43">
        <v>8</v>
      </c>
      <c r="G11" s="43">
        <v>7</v>
      </c>
      <c r="H11" s="43">
        <v>43</v>
      </c>
    </row>
    <row r="12" customHeight="1" spans="1:8">
      <c r="B12" s="44" t="s">
        <v>327</v>
      </c>
      <c r="C12" s="43">
        <v>6</v>
      </c>
      <c r="D12" s="43">
        <v>11</v>
      </c>
      <c r="E12" s="43">
        <v>12</v>
      </c>
      <c r="F12" s="43">
        <v>4</v>
      </c>
      <c r="G12" s="43">
        <v>9</v>
      </c>
      <c r="H12" s="43">
        <v>42</v>
      </c>
    </row>
    <row r="13" customHeight="1" spans="1:8">
      <c r="B13" s="44" t="s">
        <v>328</v>
      </c>
      <c r="C13" s="43">
        <v>7</v>
      </c>
      <c r="D13" s="43">
        <v>8</v>
      </c>
      <c r="E13" s="43">
        <v>12</v>
      </c>
      <c r="F13" s="43">
        <v>6</v>
      </c>
      <c r="G13" s="43">
        <v>6</v>
      </c>
      <c r="H13" s="43">
        <v>39</v>
      </c>
    </row>
    <row r="14" customHeight="1" spans="1:8">
      <c r="B14" s="44" t="s">
        <v>329</v>
      </c>
      <c r="C14" s="43">
        <v>12</v>
      </c>
      <c r="D14" s="43">
        <v>12</v>
      </c>
      <c r="E14" s="43">
        <v>11</v>
      </c>
      <c r="F14" s="43">
        <v>11</v>
      </c>
      <c r="G14" s="43">
        <v>12</v>
      </c>
      <c r="H14" s="43">
        <v>58</v>
      </c>
    </row>
    <row r="15" customHeight="1" spans="1:8">
      <c r="B15" s="44" t="s">
        <v>330</v>
      </c>
      <c r="C15" s="43">
        <v>8</v>
      </c>
      <c r="D15" s="43">
        <v>11</v>
      </c>
      <c r="E15" s="43">
        <v>10</v>
      </c>
      <c r="F15" s="43">
        <v>12</v>
      </c>
      <c r="G15" s="43">
        <v>12</v>
      </c>
      <c r="H15" s="43">
        <v>53</v>
      </c>
    </row>
    <row r="16" customHeight="1" spans="1:8">
      <c r="B16" s="44" t="s">
        <v>331</v>
      </c>
      <c r="C16" s="43">
        <v>6</v>
      </c>
      <c r="D16" s="43">
        <v>11</v>
      </c>
      <c r="E16" s="43">
        <v>11</v>
      </c>
      <c r="F16" s="43">
        <v>9</v>
      </c>
      <c r="G16" s="43">
        <v>9</v>
      </c>
      <c r="H16" s="43">
        <v>46</v>
      </c>
    </row>
    <row r="17" customHeight="1" spans="2:8">
      <c r="B17" s="44" t="s">
        <v>332</v>
      </c>
      <c r="C17" s="43">
        <v>5</v>
      </c>
      <c r="D17" s="43">
        <v>8</v>
      </c>
      <c r="E17" s="43">
        <v>11</v>
      </c>
      <c r="F17" s="43">
        <v>5</v>
      </c>
      <c r="G17" s="43">
        <v>7</v>
      </c>
      <c r="H17" s="43">
        <v>36</v>
      </c>
    </row>
    <row r="18" customHeight="1" spans="2:8">
      <c r="B18" s="44" t="s">
        <v>333</v>
      </c>
      <c r="C18" s="43">
        <v>6</v>
      </c>
      <c r="D18" s="43">
        <v>11</v>
      </c>
      <c r="E18" s="43">
        <v>12</v>
      </c>
      <c r="F18" s="43">
        <v>8</v>
      </c>
      <c r="G18" s="43">
        <v>11</v>
      </c>
      <c r="H18" s="43">
        <v>48</v>
      </c>
    </row>
    <row r="19" customHeight="1" spans="2:8">
      <c r="B19" s="44" t="s">
        <v>334</v>
      </c>
      <c r="C19" s="43">
        <v>6</v>
      </c>
      <c r="D19" s="43">
        <v>8</v>
      </c>
      <c r="E19" s="43">
        <v>10</v>
      </c>
      <c r="F19" s="43">
        <v>6</v>
      </c>
      <c r="G19" s="43">
        <v>9</v>
      </c>
      <c r="H19" s="43">
        <v>39</v>
      </c>
    </row>
    <row r="20" customHeight="1" spans="2:8">
      <c r="B20" s="44" t="s">
        <v>335</v>
      </c>
      <c r="C20" s="43">
        <v>6</v>
      </c>
      <c r="D20" s="43">
        <v>9</v>
      </c>
      <c r="E20" s="43">
        <v>12</v>
      </c>
      <c r="F20" s="43">
        <v>10</v>
      </c>
      <c r="G20" s="43">
        <v>8</v>
      </c>
      <c r="H20" s="43">
        <v>45</v>
      </c>
    </row>
    <row r="21" customHeight="1" spans="2:8">
      <c r="B21" s="44" t="s">
        <v>336</v>
      </c>
      <c r="C21" s="43">
        <v>9</v>
      </c>
      <c r="D21" s="43">
        <v>8</v>
      </c>
      <c r="E21" s="43">
        <v>10</v>
      </c>
      <c r="F21" s="43">
        <v>10</v>
      </c>
      <c r="G21" s="43">
        <v>11</v>
      </c>
      <c r="H21" s="43">
        <v>48</v>
      </c>
    </row>
    <row r="22" customHeight="1" spans="2:8">
      <c r="B22" s="44" t="s">
        <v>337</v>
      </c>
      <c r="C22" s="43">
        <v>7</v>
      </c>
      <c r="D22" s="43">
        <v>11</v>
      </c>
      <c r="E22" s="43">
        <v>8</v>
      </c>
      <c r="F22" s="43">
        <v>0</v>
      </c>
      <c r="G22" s="43">
        <v>0</v>
      </c>
      <c r="H22" s="43">
        <v>26</v>
      </c>
    </row>
    <row r="23" customHeight="1" spans="2:8">
      <c r="B23" s="44" t="s">
        <v>338</v>
      </c>
      <c r="C23" s="43">
        <v>5</v>
      </c>
      <c r="D23" s="43">
        <v>10</v>
      </c>
      <c r="E23" s="43">
        <v>11</v>
      </c>
      <c r="F23" s="43">
        <v>5</v>
      </c>
      <c r="G23" s="43">
        <v>2</v>
      </c>
      <c r="H23" s="43">
        <v>33</v>
      </c>
    </row>
    <row r="24" customHeight="1" spans="2:8">
      <c r="B24" s="44" t="s">
        <v>339</v>
      </c>
      <c r="C24" s="43">
        <v>6</v>
      </c>
      <c r="D24" s="43">
        <v>7</v>
      </c>
      <c r="E24" s="43">
        <v>10</v>
      </c>
      <c r="F24" s="43">
        <v>0</v>
      </c>
      <c r="G24" s="43">
        <v>0</v>
      </c>
      <c r="H24" s="43">
        <v>23</v>
      </c>
    </row>
    <row r="25" customHeight="1" spans="2:8">
      <c r="B25" s="44" t="s">
        <v>340</v>
      </c>
      <c r="C25" s="43">
        <v>7</v>
      </c>
      <c r="D25" s="43">
        <v>6</v>
      </c>
      <c r="E25" s="43">
        <v>11</v>
      </c>
      <c r="F25" s="43">
        <v>0</v>
      </c>
      <c r="G25" s="43">
        <v>0</v>
      </c>
      <c r="H25" s="43">
        <v>24</v>
      </c>
    </row>
    <row r="26" customHeight="1" spans="2:8">
      <c r="B26" s="44" t="s">
        <v>341</v>
      </c>
      <c r="C26" s="43">
        <v>8</v>
      </c>
      <c r="D26" s="43">
        <v>11</v>
      </c>
      <c r="E26" s="43">
        <v>11</v>
      </c>
      <c r="F26" s="43">
        <v>12</v>
      </c>
      <c r="G26" s="43">
        <v>11</v>
      </c>
      <c r="H26" s="43">
        <v>53</v>
      </c>
    </row>
    <row r="27" customHeight="1" spans="2:8">
      <c r="B27" s="44" t="s">
        <v>342</v>
      </c>
      <c r="C27" s="43">
        <v>7</v>
      </c>
      <c r="D27" s="43">
        <v>10</v>
      </c>
      <c r="E27" s="43">
        <v>12</v>
      </c>
      <c r="F27" s="43">
        <v>8</v>
      </c>
      <c r="G27" s="43">
        <v>8</v>
      </c>
      <c r="H27" s="43">
        <v>45</v>
      </c>
    </row>
    <row r="28" customHeight="1" spans="2:8">
      <c r="B28" s="44" t="s">
        <v>343</v>
      </c>
      <c r="C28" s="43">
        <v>6</v>
      </c>
      <c r="D28" s="43">
        <v>10</v>
      </c>
      <c r="E28" s="43">
        <v>10</v>
      </c>
      <c r="F28" s="43">
        <v>11</v>
      </c>
      <c r="G28" s="43">
        <v>11</v>
      </c>
      <c r="H28" s="43">
        <v>48</v>
      </c>
    </row>
    <row r="29" customHeight="1" spans="2:8">
      <c r="B29" s="44" t="s">
        <v>344</v>
      </c>
      <c r="C29" s="43">
        <v>4</v>
      </c>
      <c r="D29" s="43">
        <v>10</v>
      </c>
      <c r="E29" s="43">
        <v>11</v>
      </c>
      <c r="F29" s="43">
        <v>8</v>
      </c>
      <c r="G29" s="43">
        <v>7</v>
      </c>
      <c r="H29" s="43">
        <v>40</v>
      </c>
    </row>
    <row r="30" customHeight="1" spans="2:8">
      <c r="B30" s="44" t="s">
        <v>345</v>
      </c>
      <c r="C30" s="43">
        <v>8</v>
      </c>
      <c r="D30" s="43">
        <v>10</v>
      </c>
      <c r="E30" s="43">
        <v>12</v>
      </c>
      <c r="F30" s="43">
        <v>9</v>
      </c>
      <c r="G30" s="43">
        <v>8</v>
      </c>
      <c r="H30" s="43">
        <v>47</v>
      </c>
    </row>
    <row r="31" customHeight="1" spans="2:8">
      <c r="B31" s="44" t="s">
        <v>346</v>
      </c>
      <c r="C31" s="43">
        <v>7</v>
      </c>
      <c r="D31" s="43">
        <v>9</v>
      </c>
      <c r="E31" s="43">
        <v>9</v>
      </c>
      <c r="F31" s="43">
        <v>8</v>
      </c>
      <c r="G31" s="43">
        <v>7</v>
      </c>
      <c r="H31" s="43">
        <v>40</v>
      </c>
    </row>
    <row r="32" customHeight="1" spans="2:8">
      <c r="B32" s="44" t="s">
        <v>347</v>
      </c>
      <c r="C32" s="43">
        <v>7</v>
      </c>
      <c r="D32" s="43">
        <v>11</v>
      </c>
      <c r="E32" s="43">
        <v>10</v>
      </c>
      <c r="F32" s="43">
        <v>6</v>
      </c>
      <c r="G32" s="43">
        <v>9</v>
      </c>
      <c r="H32" s="43">
        <v>43</v>
      </c>
    </row>
    <row r="33" customHeight="1" spans="2:8">
      <c r="B33" s="44" t="s">
        <v>348</v>
      </c>
      <c r="C33" s="43">
        <v>5</v>
      </c>
      <c r="D33" s="43">
        <v>9</v>
      </c>
      <c r="E33" s="43">
        <v>10</v>
      </c>
      <c r="F33" s="43">
        <v>10</v>
      </c>
      <c r="G33" s="43">
        <v>2</v>
      </c>
      <c r="H33" s="43">
        <v>36</v>
      </c>
    </row>
    <row r="34" customHeight="1" spans="2:8">
      <c r="B34" s="44" t="s">
        <v>349</v>
      </c>
      <c r="C34" s="43">
        <v>3</v>
      </c>
      <c r="D34" s="43">
        <v>8</v>
      </c>
      <c r="E34" s="43">
        <v>10</v>
      </c>
      <c r="F34" s="43">
        <v>2</v>
      </c>
      <c r="G34" s="43">
        <v>3</v>
      </c>
      <c r="H34" s="43">
        <v>26</v>
      </c>
    </row>
    <row r="35" customHeight="1" spans="2:8">
      <c r="B35" s="44" t="s">
        <v>350</v>
      </c>
      <c r="C35" s="43">
        <v>7</v>
      </c>
      <c r="D35" s="43">
        <v>6</v>
      </c>
      <c r="E35" s="43">
        <v>12</v>
      </c>
      <c r="F35" s="43">
        <v>6</v>
      </c>
      <c r="G35" s="43">
        <v>7</v>
      </c>
      <c r="H35" s="43">
        <v>38</v>
      </c>
    </row>
    <row r="36" customHeight="1" spans="2:8">
      <c r="B36" s="44" t="s">
        <v>351</v>
      </c>
      <c r="C36" s="43">
        <v>4</v>
      </c>
      <c r="D36" s="43">
        <v>11</v>
      </c>
      <c r="E36" s="43">
        <v>12</v>
      </c>
      <c r="F36" s="43">
        <v>11</v>
      </c>
      <c r="G36" s="43">
        <v>8</v>
      </c>
      <c r="H36" s="43">
        <v>46</v>
      </c>
    </row>
    <row r="37" customHeight="1" spans="2:8">
      <c r="B37" s="44" t="s">
        <v>352</v>
      </c>
      <c r="C37" s="43">
        <v>6</v>
      </c>
      <c r="D37" s="43">
        <v>8</v>
      </c>
      <c r="E37" s="43">
        <v>11</v>
      </c>
      <c r="F37" s="43">
        <v>9</v>
      </c>
      <c r="G37" s="43">
        <v>11</v>
      </c>
      <c r="H37" s="43">
        <v>45</v>
      </c>
    </row>
    <row r="38" customHeight="1" spans="2:8">
      <c r="B38" s="44" t="s">
        <v>353</v>
      </c>
      <c r="C38" s="43">
        <v>10</v>
      </c>
      <c r="D38" s="43">
        <v>12</v>
      </c>
      <c r="E38" s="43">
        <v>12</v>
      </c>
      <c r="F38" s="43">
        <v>8</v>
      </c>
      <c r="G38" s="43">
        <v>8</v>
      </c>
      <c r="H38" s="43">
        <v>50</v>
      </c>
    </row>
    <row r="39" customHeight="1" spans="2:8">
      <c r="B39" s="44" t="s">
        <v>354</v>
      </c>
      <c r="C39" s="43">
        <v>7</v>
      </c>
      <c r="D39" s="43">
        <v>9</v>
      </c>
      <c r="E39" s="43">
        <v>11</v>
      </c>
      <c r="F39" s="43">
        <v>9</v>
      </c>
      <c r="G39" s="43">
        <v>7</v>
      </c>
      <c r="H39" s="43">
        <v>43</v>
      </c>
    </row>
    <row r="40" customHeight="1" spans="2:8">
      <c r="B40" s="44" t="s">
        <v>355</v>
      </c>
      <c r="C40" s="43">
        <v>7</v>
      </c>
      <c r="D40" s="43">
        <v>9</v>
      </c>
      <c r="E40" s="43">
        <v>11</v>
      </c>
      <c r="F40" s="43">
        <v>3</v>
      </c>
      <c r="G40" s="43">
        <v>3</v>
      </c>
      <c r="H40" s="43">
        <v>33</v>
      </c>
    </row>
    <row r="41" customHeight="1" spans="2:8">
      <c r="B41" s="44" t="s">
        <v>356</v>
      </c>
      <c r="C41" s="43">
        <v>9</v>
      </c>
      <c r="D41" s="43">
        <v>11</v>
      </c>
      <c r="E41" s="43">
        <v>12</v>
      </c>
      <c r="F41" s="43">
        <v>11</v>
      </c>
      <c r="G41" s="43">
        <v>8</v>
      </c>
      <c r="H41" s="43">
        <v>51</v>
      </c>
    </row>
    <row r="42" customHeight="1" spans="2:8">
      <c r="B42" s="44" t="s">
        <v>357</v>
      </c>
      <c r="C42" s="43">
        <v>4</v>
      </c>
      <c r="D42" s="43">
        <v>8</v>
      </c>
      <c r="E42" s="43">
        <v>10</v>
      </c>
      <c r="F42" s="43">
        <v>5</v>
      </c>
      <c r="G42" s="43">
        <v>6</v>
      </c>
      <c r="H42" s="43">
        <v>33</v>
      </c>
    </row>
    <row r="43" customHeight="1" spans="2:8">
      <c r="B43" s="44" t="s">
        <v>358</v>
      </c>
      <c r="C43" s="43">
        <v>7</v>
      </c>
      <c r="D43" s="43">
        <v>9</v>
      </c>
      <c r="E43" s="43">
        <v>12</v>
      </c>
      <c r="F43" s="43">
        <v>8</v>
      </c>
      <c r="G43" s="43">
        <v>10</v>
      </c>
      <c r="H43" s="43">
        <v>46</v>
      </c>
    </row>
    <row r="44" customHeight="1" spans="2:8">
      <c r="B44" s="44" t="s">
        <v>359</v>
      </c>
      <c r="C44" s="43">
        <v>9</v>
      </c>
      <c r="D44" s="43">
        <v>9</v>
      </c>
      <c r="E44" s="43">
        <v>10</v>
      </c>
      <c r="F44" s="43">
        <v>0</v>
      </c>
      <c r="G44" s="43">
        <v>0</v>
      </c>
      <c r="H44" s="43">
        <v>28</v>
      </c>
    </row>
    <row r="45" customHeight="1" spans="2:8">
      <c r="B45" s="44" t="s">
        <v>360</v>
      </c>
      <c r="C45" s="43">
        <v>6</v>
      </c>
      <c r="D45" s="43">
        <v>11</v>
      </c>
      <c r="E45" s="43">
        <v>9</v>
      </c>
      <c r="F45" s="43">
        <v>9</v>
      </c>
      <c r="G45" s="43">
        <v>8</v>
      </c>
      <c r="H45" s="43">
        <v>43</v>
      </c>
    </row>
    <row r="46" customHeight="1" spans="2:8">
      <c r="B46" s="44" t="s">
        <v>361</v>
      </c>
      <c r="C46" s="43">
        <v>6</v>
      </c>
      <c r="D46" s="43">
        <v>10</v>
      </c>
      <c r="E46" s="43">
        <v>11</v>
      </c>
      <c r="F46" s="43">
        <v>8</v>
      </c>
      <c r="G46" s="43">
        <v>4</v>
      </c>
      <c r="H46" s="43">
        <v>39</v>
      </c>
    </row>
    <row r="47" customHeight="1" spans="2:8">
      <c r="B47" s="44" t="s">
        <v>362</v>
      </c>
      <c r="C47" s="43">
        <v>6</v>
      </c>
      <c r="D47" s="43">
        <v>11</v>
      </c>
      <c r="E47" s="43">
        <v>10</v>
      </c>
      <c r="F47" s="43">
        <v>8</v>
      </c>
      <c r="G47" s="43">
        <v>3</v>
      </c>
      <c r="H47" s="43">
        <v>38</v>
      </c>
    </row>
    <row r="48" customHeight="1" spans="2:8">
      <c r="B48" s="44" t="s">
        <v>363</v>
      </c>
      <c r="C48" s="43">
        <v>6</v>
      </c>
      <c r="D48" s="43">
        <v>12</v>
      </c>
      <c r="E48" s="43">
        <v>7</v>
      </c>
      <c r="F48" s="43">
        <v>10</v>
      </c>
      <c r="G48" s="43">
        <v>8</v>
      </c>
      <c r="H48" s="43">
        <v>43</v>
      </c>
    </row>
    <row r="49" customHeight="1" spans="2:8">
      <c r="B49" s="44" t="s">
        <v>364</v>
      </c>
      <c r="C49" s="43">
        <v>5</v>
      </c>
      <c r="D49" s="43">
        <v>11</v>
      </c>
      <c r="E49" s="43">
        <v>9</v>
      </c>
      <c r="F49" s="43">
        <v>8</v>
      </c>
      <c r="G49" s="43">
        <v>8</v>
      </c>
      <c r="H49" s="43">
        <v>41</v>
      </c>
    </row>
    <row r="50" customHeight="1" spans="2:8">
      <c r="B50" s="44" t="s">
        <v>365</v>
      </c>
      <c r="C50" s="43">
        <v>4</v>
      </c>
      <c r="D50" s="43">
        <v>10</v>
      </c>
      <c r="E50" s="43">
        <v>10</v>
      </c>
      <c r="F50" s="43">
        <v>1</v>
      </c>
      <c r="G50" s="43">
        <v>4</v>
      </c>
      <c r="H50" s="43">
        <v>29</v>
      </c>
    </row>
    <row r="51" customHeight="1" spans="2:8">
      <c r="B51" s="44" t="s">
        <v>366</v>
      </c>
      <c r="C51" s="43">
        <v>7</v>
      </c>
      <c r="D51" s="43">
        <v>12</v>
      </c>
      <c r="E51" s="43">
        <v>11</v>
      </c>
      <c r="F51" s="43">
        <v>8</v>
      </c>
      <c r="G51" s="43">
        <v>10</v>
      </c>
      <c r="H51" s="43">
        <v>48</v>
      </c>
    </row>
    <row r="52" customHeight="1" spans="2:8">
      <c r="B52" s="44" t="s">
        <v>367</v>
      </c>
      <c r="C52" s="43">
        <v>7</v>
      </c>
      <c r="D52" s="43">
        <v>7</v>
      </c>
      <c r="E52" s="43">
        <v>10</v>
      </c>
      <c r="F52" s="43">
        <v>6</v>
      </c>
      <c r="G52" s="43">
        <v>4</v>
      </c>
      <c r="H52" s="43">
        <v>34</v>
      </c>
    </row>
    <row r="53" customHeight="1" spans="2:8">
      <c r="B53" s="44" t="s">
        <v>368</v>
      </c>
      <c r="C53" s="43">
        <v>5</v>
      </c>
      <c r="D53" s="43">
        <v>10</v>
      </c>
      <c r="E53" s="43">
        <v>0</v>
      </c>
      <c r="F53" s="43">
        <v>0</v>
      </c>
      <c r="G53" s="43">
        <v>0</v>
      </c>
      <c r="H53" s="43">
        <v>15</v>
      </c>
    </row>
    <row r="54" customHeight="1" spans="2:8">
      <c r="B54" s="44" t="s">
        <v>369</v>
      </c>
      <c r="C54" s="43">
        <v>9</v>
      </c>
      <c r="D54" s="43">
        <v>11</v>
      </c>
      <c r="E54" s="43">
        <v>10</v>
      </c>
      <c r="F54" s="43">
        <v>5</v>
      </c>
      <c r="G54" s="43">
        <v>0</v>
      </c>
      <c r="H54" s="43">
        <v>35</v>
      </c>
    </row>
    <row r="55" customHeight="1" spans="2:8">
      <c r="B55" s="44" t="s">
        <v>370</v>
      </c>
      <c r="C55" s="43">
        <v>10</v>
      </c>
      <c r="D55" s="43">
        <v>11</v>
      </c>
      <c r="E55" s="43">
        <v>11</v>
      </c>
      <c r="F55" s="43">
        <v>10</v>
      </c>
      <c r="G55" s="43">
        <v>11</v>
      </c>
      <c r="H55" s="43">
        <v>53</v>
      </c>
    </row>
    <row r="56" spans="2:8">
      <c r="B56" s="45" t="s">
        <v>371</v>
      </c>
      <c r="C56" s="45">
        <v>6.79</v>
      </c>
      <c r="D56" s="45">
        <v>9.68</v>
      </c>
      <c r="E56" s="45">
        <v>10.43</v>
      </c>
      <c r="F56" s="45">
        <v>7.15</v>
      </c>
      <c r="G56" s="45">
        <v>6.81</v>
      </c>
      <c r="H56" s="45">
        <v>40.87</v>
      </c>
    </row>
  </sheetData>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2:H56"/>
  <sheetViews>
    <sheetView workbookViewId="0">
      <pane xSplit="1" ySplit="2" topLeftCell="B24" activePane="bottomRight" state="frozen"/>
      <selection/>
      <selection pane="topRight"/>
      <selection pane="bottomLeft"/>
      <selection pane="bottomRight" activeCell="D6" sqref="D6"/>
    </sheetView>
  </sheetViews>
  <sheetFormatPr defaultColWidth="8.85833333333333" defaultRowHeight="13.5" outlineLevelCol="7"/>
  <cols>
    <col min="1" max="1" width="3.425" customWidth="1"/>
    <col min="2" max="8" width="26.5666666666667" customWidth="1"/>
  </cols>
  <sheetData>
    <row r="2" spans="1:8">
      <c r="B2" s="27" t="s">
        <v>11</v>
      </c>
      <c r="C2" s="28" t="s">
        <v>311</v>
      </c>
      <c r="D2" s="29" t="s">
        <v>312</v>
      </c>
      <c r="E2" s="30" t="s">
        <v>313</v>
      </c>
      <c r="F2" s="31" t="s">
        <v>315</v>
      </c>
      <c r="G2" s="32" t="s">
        <v>316</v>
      </c>
      <c r="H2" s="33" t="s">
        <v>372</v>
      </c>
    </row>
    <row r="3" spans="1:8">
      <c r="B3" s="34" t="s">
        <v>318</v>
      </c>
      <c r="C3" s="35">
        <v>3.75</v>
      </c>
      <c r="D3" s="35">
        <v>4.58333333333333</v>
      </c>
      <c r="E3" s="35">
        <v>5</v>
      </c>
      <c r="F3" s="35">
        <v>5</v>
      </c>
      <c r="G3" s="35">
        <v>4.58333333333333</v>
      </c>
      <c r="H3" s="36">
        <v>4.58</v>
      </c>
    </row>
    <row r="4" ht="15" spans="1:8">
      <c r="B4" s="37" t="s">
        <v>319</v>
      </c>
      <c r="C4" s="35">
        <v>2.91666666666667</v>
      </c>
      <c r="D4" s="35">
        <v>2.91666666666667</v>
      </c>
      <c r="E4" s="35">
        <v>3.75</v>
      </c>
      <c r="F4" s="35">
        <v>2.5</v>
      </c>
      <c r="G4" s="35">
        <v>2.08333333333333</v>
      </c>
      <c r="H4" s="36">
        <v>2.83</v>
      </c>
    </row>
    <row r="5" ht="15" spans="1:8">
      <c r="B5" s="37" t="s">
        <v>320</v>
      </c>
      <c r="C5" s="35">
        <v>2.91666666666667</v>
      </c>
      <c r="D5" s="35">
        <v>4.16666666666667</v>
      </c>
      <c r="E5" s="35">
        <v>4.58333333333333</v>
      </c>
      <c r="F5" s="35">
        <v>4.16666666666667</v>
      </c>
      <c r="G5" s="35">
        <v>4.16666666666667</v>
      </c>
      <c r="H5" s="36">
        <v>4</v>
      </c>
    </row>
    <row r="6" ht="15" spans="1:8">
      <c r="B6" s="37" t="s">
        <v>321</v>
      </c>
      <c r="C6" s="35">
        <v>3.33333333333333</v>
      </c>
      <c r="D6" s="35">
        <v>4.58333333333333</v>
      </c>
      <c r="E6" s="35">
        <v>4.58333333333333</v>
      </c>
      <c r="F6" s="35">
        <v>3.75</v>
      </c>
      <c r="G6" s="35">
        <v>2.91666666666667</v>
      </c>
      <c r="H6" s="36">
        <v>3.83</v>
      </c>
    </row>
    <row r="7" ht="15" spans="1:8">
      <c r="B7" s="37" t="s">
        <v>322</v>
      </c>
      <c r="C7" s="35">
        <v>3.33333333333333</v>
      </c>
      <c r="D7" s="35">
        <v>3.33333333333333</v>
      </c>
      <c r="E7" s="35">
        <v>4.16666666666667</v>
      </c>
      <c r="F7" s="35">
        <v>3.33333333333333</v>
      </c>
      <c r="G7" s="35">
        <v>3.33333333333333</v>
      </c>
      <c r="H7" s="36">
        <v>3.5</v>
      </c>
    </row>
    <row r="8" ht="15" spans="1:8">
      <c r="A8" s="38"/>
      <c r="B8" s="37" t="s">
        <v>323</v>
      </c>
      <c r="C8" s="35">
        <v>3.33333333333333</v>
      </c>
      <c r="D8" s="35">
        <v>4.16666666666667</v>
      </c>
      <c r="E8" s="35">
        <v>5</v>
      </c>
      <c r="F8" s="35">
        <v>2.5</v>
      </c>
      <c r="G8" s="35">
        <v>2.5</v>
      </c>
      <c r="H8" s="36">
        <v>3.5</v>
      </c>
    </row>
    <row r="9" ht="15" spans="1:8">
      <c r="B9" s="37" t="s">
        <v>324</v>
      </c>
      <c r="C9" s="35">
        <v>3.33333333333333</v>
      </c>
      <c r="D9" s="35">
        <v>4.58333333333333</v>
      </c>
      <c r="E9" s="35">
        <v>4.58333333333333</v>
      </c>
      <c r="F9" s="35">
        <v>3.33333333333333</v>
      </c>
      <c r="G9" s="35">
        <v>4.16666666666667</v>
      </c>
      <c r="H9" s="36">
        <v>4</v>
      </c>
    </row>
    <row r="10" ht="15" spans="1:8">
      <c r="B10" s="37" t="s">
        <v>325</v>
      </c>
      <c r="C10" s="35">
        <v>2.5</v>
      </c>
      <c r="D10" s="35">
        <v>2.91666666666667</v>
      </c>
      <c r="E10" s="35">
        <v>4.16666666666667</v>
      </c>
      <c r="F10" s="35">
        <v>3.75</v>
      </c>
      <c r="G10" s="35">
        <v>2.91666666666667</v>
      </c>
      <c r="H10" s="36">
        <v>3.25</v>
      </c>
    </row>
    <row r="11" ht="15" spans="1:8">
      <c r="B11" s="37" t="s">
        <v>326</v>
      </c>
      <c r="C11" s="35">
        <v>2.91666666666667</v>
      </c>
      <c r="D11" s="35">
        <v>4.58333333333333</v>
      </c>
      <c r="E11" s="35">
        <v>4.16666666666667</v>
      </c>
      <c r="F11" s="35">
        <v>3.33333333333333</v>
      </c>
      <c r="G11" s="35">
        <v>2.91666666666667</v>
      </c>
      <c r="H11" s="36">
        <v>3.58</v>
      </c>
    </row>
    <row r="12" ht="15" spans="1:8">
      <c r="B12" s="37" t="s">
        <v>327</v>
      </c>
      <c r="C12" s="35">
        <v>2.5</v>
      </c>
      <c r="D12" s="35">
        <v>4.58333333333333</v>
      </c>
      <c r="E12" s="35">
        <v>5</v>
      </c>
      <c r="F12" s="35">
        <v>1.66666666666667</v>
      </c>
      <c r="G12" s="35">
        <v>3.75</v>
      </c>
      <c r="H12" s="36">
        <v>3.5</v>
      </c>
    </row>
    <row r="13" ht="15" spans="1:8">
      <c r="B13" s="37" t="s">
        <v>328</v>
      </c>
      <c r="C13" s="35">
        <v>2.91666666666667</v>
      </c>
      <c r="D13" s="35">
        <v>3.33333333333333</v>
      </c>
      <c r="E13" s="35">
        <v>5</v>
      </c>
      <c r="F13" s="35">
        <v>2.5</v>
      </c>
      <c r="G13" s="35">
        <v>2.5</v>
      </c>
      <c r="H13" s="36">
        <v>3.25</v>
      </c>
    </row>
    <row r="14" ht="15" spans="1:8">
      <c r="B14" s="37" t="s">
        <v>329</v>
      </c>
      <c r="C14" s="35">
        <v>5</v>
      </c>
      <c r="D14" s="35">
        <v>5</v>
      </c>
      <c r="E14" s="35">
        <v>4.58333333333333</v>
      </c>
      <c r="F14" s="35">
        <v>4.58333333333333</v>
      </c>
      <c r="G14" s="35">
        <v>5</v>
      </c>
      <c r="H14" s="36">
        <v>4.83</v>
      </c>
    </row>
    <row r="15" ht="15" spans="1:8">
      <c r="B15" s="37" t="s">
        <v>330</v>
      </c>
      <c r="C15" s="35">
        <v>3.33333333333333</v>
      </c>
      <c r="D15" s="35">
        <v>4.58333333333333</v>
      </c>
      <c r="E15" s="35">
        <v>4.16666666666667</v>
      </c>
      <c r="F15" s="35">
        <v>5</v>
      </c>
      <c r="G15" s="35">
        <v>5</v>
      </c>
      <c r="H15" s="36">
        <v>4.42</v>
      </c>
    </row>
    <row r="16" ht="15" spans="1:8">
      <c r="B16" s="37" t="s">
        <v>331</v>
      </c>
      <c r="C16" s="35">
        <v>2.5</v>
      </c>
      <c r="D16" s="35">
        <v>4.58333333333333</v>
      </c>
      <c r="E16" s="35">
        <v>4.58333333333333</v>
      </c>
      <c r="F16" s="35">
        <v>3.75</v>
      </c>
      <c r="G16" s="35">
        <v>3.75</v>
      </c>
      <c r="H16" s="36">
        <v>3.83</v>
      </c>
    </row>
    <row r="17" ht="15" spans="2:8">
      <c r="B17" s="37" t="s">
        <v>332</v>
      </c>
      <c r="C17" s="35">
        <v>2.08333333333333</v>
      </c>
      <c r="D17" s="35">
        <v>3.33333333333333</v>
      </c>
      <c r="E17" s="35">
        <v>4.58333333333333</v>
      </c>
      <c r="F17" s="35">
        <v>2.08333333333333</v>
      </c>
      <c r="G17" s="35">
        <v>2.91666666666667</v>
      </c>
      <c r="H17" s="36">
        <v>3</v>
      </c>
    </row>
    <row r="18" ht="15" spans="2:8">
      <c r="B18" s="37" t="s">
        <v>333</v>
      </c>
      <c r="C18" s="35">
        <v>2.5</v>
      </c>
      <c r="D18" s="35">
        <v>4.58333333333333</v>
      </c>
      <c r="E18" s="35">
        <v>5</v>
      </c>
      <c r="F18" s="35">
        <v>3.33333333333333</v>
      </c>
      <c r="G18" s="35">
        <v>4.58333333333333</v>
      </c>
      <c r="H18" s="36">
        <v>4</v>
      </c>
    </row>
    <row r="19" ht="15" spans="2:8">
      <c r="B19" s="37" t="s">
        <v>334</v>
      </c>
      <c r="C19" s="35">
        <v>2.5</v>
      </c>
      <c r="D19" s="35">
        <v>3.33333333333333</v>
      </c>
      <c r="E19" s="35">
        <v>4.16666666666667</v>
      </c>
      <c r="F19" s="35">
        <v>2.5</v>
      </c>
      <c r="G19" s="35">
        <v>3.75</v>
      </c>
      <c r="H19" s="36">
        <v>3.25</v>
      </c>
    </row>
    <row r="20" ht="15" spans="2:8">
      <c r="B20" s="37" t="s">
        <v>335</v>
      </c>
      <c r="C20" s="35">
        <v>2.5</v>
      </c>
      <c r="D20" s="35">
        <v>3.75</v>
      </c>
      <c r="E20" s="35">
        <v>5</v>
      </c>
      <c r="F20" s="35">
        <v>4.16666666666667</v>
      </c>
      <c r="G20" s="35">
        <v>3.33333333333333</v>
      </c>
      <c r="H20" s="36">
        <v>3.75</v>
      </c>
    </row>
    <row r="21" ht="15" spans="2:8">
      <c r="B21" s="37" t="s">
        <v>336</v>
      </c>
      <c r="C21" s="35">
        <v>3.75</v>
      </c>
      <c r="D21" s="35">
        <v>3.33333333333333</v>
      </c>
      <c r="E21" s="35">
        <v>4.16666666666667</v>
      </c>
      <c r="F21" s="35">
        <v>4.16666666666667</v>
      </c>
      <c r="G21" s="35">
        <v>4.58333333333333</v>
      </c>
      <c r="H21" s="36">
        <v>4</v>
      </c>
    </row>
    <row r="22" ht="15" spans="2:8">
      <c r="B22" s="37" t="s">
        <v>337</v>
      </c>
      <c r="C22" s="35">
        <v>2.91666666666667</v>
      </c>
      <c r="D22" s="35">
        <v>4.58333333333333</v>
      </c>
      <c r="E22" s="35">
        <v>3.33333333333333</v>
      </c>
      <c r="F22" s="35">
        <v>0</v>
      </c>
      <c r="G22" s="35">
        <v>0</v>
      </c>
      <c r="H22" s="36">
        <v>2.17</v>
      </c>
    </row>
    <row r="23" ht="15" spans="2:8">
      <c r="B23" s="37" t="s">
        <v>338</v>
      </c>
      <c r="C23" s="35">
        <v>2.08333333333333</v>
      </c>
      <c r="D23" s="35">
        <v>4.16666666666667</v>
      </c>
      <c r="E23" s="35">
        <v>4.58333333333333</v>
      </c>
      <c r="F23" s="35">
        <v>2.08333333333333</v>
      </c>
      <c r="G23" s="35">
        <v>0.833333333333333</v>
      </c>
      <c r="H23" s="36">
        <v>2.75</v>
      </c>
    </row>
    <row r="24" ht="15" spans="2:8">
      <c r="B24" s="37" t="s">
        <v>339</v>
      </c>
      <c r="C24" s="35">
        <v>2.5</v>
      </c>
      <c r="D24" s="35">
        <v>2.91666666666667</v>
      </c>
      <c r="E24" s="35">
        <v>4.16666666666667</v>
      </c>
      <c r="F24" s="35">
        <v>0</v>
      </c>
      <c r="G24" s="35">
        <v>0</v>
      </c>
      <c r="H24" s="36">
        <v>1.92</v>
      </c>
    </row>
    <row r="25" ht="15" spans="2:8">
      <c r="B25" s="37" t="s">
        <v>340</v>
      </c>
      <c r="C25" s="35">
        <v>2.91666666666667</v>
      </c>
      <c r="D25" s="35">
        <v>2.5</v>
      </c>
      <c r="E25" s="35">
        <v>4.58333333333333</v>
      </c>
      <c r="F25" s="35">
        <v>0</v>
      </c>
      <c r="G25" s="35">
        <v>0</v>
      </c>
      <c r="H25" s="36">
        <v>2</v>
      </c>
    </row>
    <row r="26" ht="15" spans="2:8">
      <c r="B26" s="37" t="s">
        <v>341</v>
      </c>
      <c r="C26" s="35">
        <v>3.33333333333333</v>
      </c>
      <c r="D26" s="35">
        <v>4.58333333333333</v>
      </c>
      <c r="E26" s="35">
        <v>4.58333333333333</v>
      </c>
      <c r="F26" s="35">
        <v>5</v>
      </c>
      <c r="G26" s="35">
        <v>4.58333333333333</v>
      </c>
      <c r="H26" s="36">
        <v>4.42</v>
      </c>
    </row>
    <row r="27" ht="15" spans="2:8">
      <c r="B27" s="37" t="s">
        <v>342</v>
      </c>
      <c r="C27" s="35">
        <v>2.91666666666667</v>
      </c>
      <c r="D27" s="35">
        <v>4.16666666666667</v>
      </c>
      <c r="E27" s="35">
        <v>5</v>
      </c>
      <c r="F27" s="35">
        <v>3.33333333333333</v>
      </c>
      <c r="G27" s="35">
        <v>3.33333333333333</v>
      </c>
      <c r="H27" s="36">
        <v>3.75</v>
      </c>
    </row>
    <row r="28" ht="15" spans="2:8">
      <c r="B28" s="37" t="s">
        <v>343</v>
      </c>
      <c r="C28" s="35">
        <v>2.5</v>
      </c>
      <c r="D28" s="35">
        <v>4.16666666666667</v>
      </c>
      <c r="E28" s="35">
        <v>4.16666666666667</v>
      </c>
      <c r="F28" s="35">
        <v>4.58333333333333</v>
      </c>
      <c r="G28" s="35">
        <v>4.58333333333333</v>
      </c>
      <c r="H28" s="36">
        <v>4</v>
      </c>
    </row>
    <row r="29" ht="15" spans="2:8">
      <c r="B29" s="37" t="s">
        <v>344</v>
      </c>
      <c r="C29" s="35">
        <v>1.66666666666667</v>
      </c>
      <c r="D29" s="35">
        <v>4.16666666666667</v>
      </c>
      <c r="E29" s="35">
        <v>4.58333333333333</v>
      </c>
      <c r="F29" s="35">
        <v>3.33333333333333</v>
      </c>
      <c r="G29" s="35">
        <v>2.91666666666667</v>
      </c>
      <c r="H29" s="36">
        <v>3.33</v>
      </c>
    </row>
    <row r="30" ht="15" spans="2:8">
      <c r="B30" s="37" t="s">
        <v>345</v>
      </c>
      <c r="C30" s="35">
        <v>3.33333333333333</v>
      </c>
      <c r="D30" s="35">
        <v>4.16666666666667</v>
      </c>
      <c r="E30" s="35">
        <v>5</v>
      </c>
      <c r="F30" s="35">
        <v>3.75</v>
      </c>
      <c r="G30" s="35">
        <v>3.33333333333333</v>
      </c>
      <c r="H30" s="36">
        <v>3.92</v>
      </c>
    </row>
    <row r="31" ht="15" spans="2:8">
      <c r="B31" s="37" t="s">
        <v>346</v>
      </c>
      <c r="C31" s="35">
        <v>2.91666666666667</v>
      </c>
      <c r="D31" s="35">
        <v>3.75</v>
      </c>
      <c r="E31" s="35">
        <v>3.75</v>
      </c>
      <c r="F31" s="35">
        <v>3.33333333333333</v>
      </c>
      <c r="G31" s="35">
        <v>2.91666666666667</v>
      </c>
      <c r="H31" s="36">
        <v>3.33</v>
      </c>
    </row>
    <row r="32" ht="15" spans="2:8">
      <c r="B32" s="37" t="s">
        <v>347</v>
      </c>
      <c r="C32" s="35">
        <v>2.91666666666667</v>
      </c>
      <c r="D32" s="35">
        <v>4.58333333333333</v>
      </c>
      <c r="E32" s="35">
        <v>4.16666666666667</v>
      </c>
      <c r="F32" s="35">
        <v>2.5</v>
      </c>
      <c r="G32" s="35">
        <v>3.75</v>
      </c>
      <c r="H32" s="36">
        <v>3.58</v>
      </c>
    </row>
    <row r="33" ht="15" spans="2:8">
      <c r="B33" s="37" t="s">
        <v>348</v>
      </c>
      <c r="C33" s="35">
        <v>2.08333333333333</v>
      </c>
      <c r="D33" s="35">
        <v>3.75</v>
      </c>
      <c r="E33" s="35">
        <v>4.16666666666667</v>
      </c>
      <c r="F33" s="35">
        <v>4.16666666666667</v>
      </c>
      <c r="G33" s="35">
        <v>0.833333333333333</v>
      </c>
      <c r="H33" s="36">
        <v>3</v>
      </c>
    </row>
    <row r="34" ht="15" spans="2:8">
      <c r="B34" s="37" t="s">
        <v>349</v>
      </c>
      <c r="C34" s="35">
        <v>1.25</v>
      </c>
      <c r="D34" s="35">
        <v>3.33333333333333</v>
      </c>
      <c r="E34" s="35">
        <v>4.16666666666667</v>
      </c>
      <c r="F34" s="35">
        <v>0.833333333333333</v>
      </c>
      <c r="G34" s="35">
        <v>1.25</v>
      </c>
      <c r="H34" s="36">
        <v>2.17</v>
      </c>
    </row>
    <row r="35" ht="15" spans="2:8">
      <c r="B35" s="37" t="s">
        <v>350</v>
      </c>
      <c r="C35" s="35">
        <v>2.91666666666667</v>
      </c>
      <c r="D35" s="35">
        <v>2.5</v>
      </c>
      <c r="E35" s="35">
        <v>5</v>
      </c>
      <c r="F35" s="35">
        <v>2.5</v>
      </c>
      <c r="G35" s="35">
        <v>2.91666666666667</v>
      </c>
      <c r="H35" s="36">
        <v>3.17</v>
      </c>
    </row>
    <row r="36" ht="15" spans="2:8">
      <c r="B36" s="37" t="s">
        <v>351</v>
      </c>
      <c r="C36" s="35">
        <v>1.66666666666667</v>
      </c>
      <c r="D36" s="35">
        <v>4.58333333333333</v>
      </c>
      <c r="E36" s="35">
        <v>5</v>
      </c>
      <c r="F36" s="35">
        <v>4.58333333333333</v>
      </c>
      <c r="G36" s="35">
        <v>3.33333333333333</v>
      </c>
      <c r="H36" s="36">
        <v>3.83</v>
      </c>
    </row>
    <row r="37" ht="15" spans="2:8">
      <c r="B37" s="37" t="s">
        <v>352</v>
      </c>
      <c r="C37" s="35">
        <v>2.5</v>
      </c>
      <c r="D37" s="35">
        <v>3.33333333333333</v>
      </c>
      <c r="E37" s="35">
        <v>4.58333333333333</v>
      </c>
      <c r="F37" s="35">
        <v>3.75</v>
      </c>
      <c r="G37" s="35">
        <v>4.58333333333333</v>
      </c>
      <c r="H37" s="36">
        <v>3.75</v>
      </c>
    </row>
    <row r="38" ht="15" spans="2:8">
      <c r="B38" s="37" t="s">
        <v>353</v>
      </c>
      <c r="C38" s="35">
        <v>4.16666666666667</v>
      </c>
      <c r="D38" s="35">
        <v>5</v>
      </c>
      <c r="E38" s="35">
        <v>5</v>
      </c>
      <c r="F38" s="35">
        <v>3.33333333333333</v>
      </c>
      <c r="G38" s="35">
        <v>3.33333333333333</v>
      </c>
      <c r="H38" s="36">
        <v>4.17</v>
      </c>
    </row>
    <row r="39" ht="15" spans="2:8">
      <c r="B39" s="37" t="s">
        <v>354</v>
      </c>
      <c r="C39" s="35">
        <v>2.91666666666667</v>
      </c>
      <c r="D39" s="35">
        <v>3.75</v>
      </c>
      <c r="E39" s="35">
        <v>4.58333333333333</v>
      </c>
      <c r="F39" s="35">
        <v>3.75</v>
      </c>
      <c r="G39" s="35">
        <v>2.91666666666667</v>
      </c>
      <c r="H39" s="36">
        <v>3.58</v>
      </c>
    </row>
    <row r="40" ht="15" spans="2:8">
      <c r="B40" s="37" t="s">
        <v>355</v>
      </c>
      <c r="C40" s="35">
        <v>2.91666666666667</v>
      </c>
      <c r="D40" s="35">
        <v>3.75</v>
      </c>
      <c r="E40" s="35">
        <v>4.58333333333333</v>
      </c>
      <c r="F40" s="35">
        <v>1.25</v>
      </c>
      <c r="G40" s="35">
        <v>1.25</v>
      </c>
      <c r="H40" s="36">
        <v>2.75</v>
      </c>
    </row>
    <row r="41" ht="15" spans="2:8">
      <c r="B41" s="37" t="s">
        <v>356</v>
      </c>
      <c r="C41" s="35">
        <v>3.75</v>
      </c>
      <c r="D41" s="35">
        <v>4.58333333333333</v>
      </c>
      <c r="E41" s="35">
        <v>5</v>
      </c>
      <c r="F41" s="35">
        <v>4.58333333333333</v>
      </c>
      <c r="G41" s="35">
        <v>3.33333333333333</v>
      </c>
      <c r="H41" s="36">
        <v>4.25</v>
      </c>
    </row>
    <row r="42" ht="15" spans="2:8">
      <c r="B42" s="37" t="s">
        <v>357</v>
      </c>
      <c r="C42" s="35">
        <v>1.66666666666667</v>
      </c>
      <c r="D42" s="35">
        <v>3.33333333333333</v>
      </c>
      <c r="E42" s="35">
        <v>4.16666666666667</v>
      </c>
      <c r="F42" s="35">
        <v>2.08333333333333</v>
      </c>
      <c r="G42" s="35">
        <v>2.5</v>
      </c>
      <c r="H42" s="36">
        <v>2.75</v>
      </c>
    </row>
    <row r="43" ht="15" spans="2:8">
      <c r="B43" s="37" t="s">
        <v>358</v>
      </c>
      <c r="C43" s="35">
        <v>2.91666666666667</v>
      </c>
      <c r="D43" s="35">
        <v>3.75</v>
      </c>
      <c r="E43" s="35">
        <v>5</v>
      </c>
      <c r="F43" s="35">
        <v>3.33333333333333</v>
      </c>
      <c r="G43" s="35">
        <v>4.16666666666667</v>
      </c>
      <c r="H43" s="36">
        <v>3.83</v>
      </c>
    </row>
    <row r="44" ht="15" spans="2:8">
      <c r="B44" s="37" t="s">
        <v>359</v>
      </c>
      <c r="C44" s="35">
        <v>3.75</v>
      </c>
      <c r="D44" s="35">
        <v>3.75</v>
      </c>
      <c r="E44" s="35">
        <v>4.16666666666667</v>
      </c>
      <c r="F44" s="35">
        <v>0</v>
      </c>
      <c r="G44" s="35">
        <v>0</v>
      </c>
      <c r="H44" s="36">
        <v>2.33</v>
      </c>
    </row>
    <row r="45" ht="15" spans="2:8">
      <c r="B45" s="37" t="s">
        <v>360</v>
      </c>
      <c r="C45" s="35">
        <v>2.5</v>
      </c>
      <c r="D45" s="35">
        <v>4.58333333333333</v>
      </c>
      <c r="E45" s="35">
        <v>3.75</v>
      </c>
      <c r="F45" s="35">
        <v>3.75</v>
      </c>
      <c r="G45" s="35">
        <v>3.33333333333333</v>
      </c>
      <c r="H45" s="36">
        <v>3.58</v>
      </c>
    </row>
    <row r="46" ht="15" spans="2:8">
      <c r="B46" s="37" t="s">
        <v>361</v>
      </c>
      <c r="C46" s="35">
        <v>2.5</v>
      </c>
      <c r="D46" s="35">
        <v>4.16666666666667</v>
      </c>
      <c r="E46" s="35">
        <v>4.58333333333333</v>
      </c>
      <c r="F46" s="35">
        <v>3.33333333333333</v>
      </c>
      <c r="G46" s="35">
        <v>1.66666666666667</v>
      </c>
      <c r="H46" s="36">
        <v>3.25</v>
      </c>
    </row>
    <row r="47" ht="15" spans="2:8">
      <c r="B47" s="37" t="s">
        <v>362</v>
      </c>
      <c r="C47" s="35">
        <v>2.5</v>
      </c>
      <c r="D47" s="35">
        <v>4.58333333333333</v>
      </c>
      <c r="E47" s="35">
        <v>4.16666666666667</v>
      </c>
      <c r="F47" s="35">
        <v>3.33333333333333</v>
      </c>
      <c r="G47" s="35">
        <v>1.25</v>
      </c>
      <c r="H47" s="36">
        <v>3.17</v>
      </c>
    </row>
    <row r="48" ht="15" spans="2:8">
      <c r="B48" s="37" t="s">
        <v>363</v>
      </c>
      <c r="C48" s="35">
        <v>2.5</v>
      </c>
      <c r="D48" s="35">
        <v>5</v>
      </c>
      <c r="E48" s="35">
        <v>2.91666666666667</v>
      </c>
      <c r="F48" s="35">
        <v>4.16666666666667</v>
      </c>
      <c r="G48" s="35">
        <v>3.33333333333333</v>
      </c>
      <c r="H48" s="36">
        <v>3.58</v>
      </c>
    </row>
    <row r="49" ht="15" spans="2:8">
      <c r="B49" s="37" t="s">
        <v>364</v>
      </c>
      <c r="C49" s="35">
        <v>2.08333333333333</v>
      </c>
      <c r="D49" s="35">
        <v>4.58333333333333</v>
      </c>
      <c r="E49" s="35">
        <v>3.75</v>
      </c>
      <c r="F49" s="35">
        <v>3.33333333333333</v>
      </c>
      <c r="G49" s="35">
        <v>3.33333333333333</v>
      </c>
      <c r="H49" s="36">
        <v>3.42</v>
      </c>
    </row>
    <row r="50" ht="15" spans="2:8">
      <c r="B50" s="37" t="s">
        <v>365</v>
      </c>
      <c r="C50" s="35">
        <v>1.66666666666667</v>
      </c>
      <c r="D50" s="35">
        <v>4.16666666666667</v>
      </c>
      <c r="E50" s="35">
        <v>4.16666666666667</v>
      </c>
      <c r="F50" s="35">
        <v>0.416666666666667</v>
      </c>
      <c r="G50" s="35">
        <v>1.66666666666667</v>
      </c>
      <c r="H50" s="36">
        <v>2.42</v>
      </c>
    </row>
    <row r="51" ht="15" spans="2:8">
      <c r="B51" s="37" t="s">
        <v>366</v>
      </c>
      <c r="C51" s="35">
        <v>2.91666666666667</v>
      </c>
      <c r="D51" s="35">
        <v>5</v>
      </c>
      <c r="E51" s="35">
        <v>4.58333333333333</v>
      </c>
      <c r="F51" s="35">
        <v>3.33333333333333</v>
      </c>
      <c r="G51" s="35">
        <v>4.16666666666667</v>
      </c>
      <c r="H51" s="36">
        <v>4</v>
      </c>
    </row>
    <row r="52" ht="15" spans="2:8">
      <c r="B52" s="37" t="s">
        <v>367</v>
      </c>
      <c r="C52" s="35">
        <v>2.91666666666667</v>
      </c>
      <c r="D52" s="35">
        <v>2.91666666666667</v>
      </c>
      <c r="E52" s="35">
        <v>4.16666666666667</v>
      </c>
      <c r="F52" s="35">
        <v>2.5</v>
      </c>
      <c r="G52" s="35">
        <v>1.66666666666667</v>
      </c>
      <c r="H52" s="36">
        <v>2.83</v>
      </c>
    </row>
    <row r="53" ht="15" spans="2:8">
      <c r="B53" s="37" t="s">
        <v>368</v>
      </c>
      <c r="C53" s="35">
        <v>2.08333333333333</v>
      </c>
      <c r="D53" s="35">
        <v>4.16666666666667</v>
      </c>
      <c r="E53" s="35">
        <v>0</v>
      </c>
      <c r="F53" s="35">
        <v>0</v>
      </c>
      <c r="G53" s="35">
        <v>0</v>
      </c>
      <c r="H53" s="36">
        <v>1.25</v>
      </c>
    </row>
    <row r="54" ht="15" spans="2:8">
      <c r="B54" s="37" t="s">
        <v>369</v>
      </c>
      <c r="C54" s="35">
        <v>3.75</v>
      </c>
      <c r="D54" s="35">
        <v>4.58333333333333</v>
      </c>
      <c r="E54" s="35">
        <v>4.16666666666667</v>
      </c>
      <c r="F54" s="35">
        <v>2.08333333333333</v>
      </c>
      <c r="G54" s="35">
        <v>0</v>
      </c>
      <c r="H54" s="36">
        <v>2.92</v>
      </c>
    </row>
    <row r="55" ht="15" spans="2:8">
      <c r="B55" s="37" t="s">
        <v>370</v>
      </c>
      <c r="C55" s="35">
        <v>4.16666666666667</v>
      </c>
      <c r="D55" s="35">
        <v>4.58333333333333</v>
      </c>
      <c r="E55" s="35">
        <v>4.58333333333333</v>
      </c>
      <c r="F55" s="35">
        <v>4.16666666666667</v>
      </c>
      <c r="G55" s="35">
        <v>4.58333333333333</v>
      </c>
      <c r="H55" s="36">
        <v>4.42</v>
      </c>
    </row>
    <row r="56" spans="2:8">
      <c r="B56" s="39" t="s">
        <v>371</v>
      </c>
      <c r="C56" s="40">
        <v>2.83</v>
      </c>
      <c r="D56" s="40">
        <v>4.03</v>
      </c>
      <c r="E56" s="40">
        <v>4.35</v>
      </c>
      <c r="F56" s="40">
        <v>2.98</v>
      </c>
      <c r="G56" s="40">
        <v>2.84</v>
      </c>
      <c r="H56" s="41">
        <v>3.41</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42"/>
  <sheetViews>
    <sheetView workbookViewId="0">
      <selection activeCell="D21" sqref="D21"/>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row>
    <row r="2" spans="1:10">
      <c r="A2" s="2" t="str" cm="1">
        <f ca="1" t="array" ref="A2">RIGHT(CELL("filename",A1),LEN(CELL("filename",A1))-FIND("]",CELL("filename",A1)))</f>
        <v>aaa</v>
      </c>
    </row>
    <row r="3" spans="1:10">
      <c r="A3" s="2" t="s">
        <v>373</v>
      </c>
      <c r="D3" s="3"/>
      <c r="E3" s="3" t="s">
        <v>374</v>
      </c>
    </row>
    <row r="4" spans="1:10">
      <c r="D4" s="4"/>
      <c r="E4" s="5">
        <f>AVERAGE($D27:$D31)</f>
        <v>4.58333333333333</v>
      </c>
      <c r="F4" s="1">
        <f>IF(E4&gt;=1,1,E4)</f>
        <v>1</v>
      </c>
      <c r="G4" s="1">
        <f>IF(E4-1&gt;=1,1,IF(E4-1&gt;0,E4-1,0))</f>
        <v>1</v>
      </c>
      <c r="H4" s="1">
        <f>IF(E4-2&gt;=1,1,IF(E4-2&gt;0,E4-2,0))</f>
        <v>1</v>
      </c>
      <c r="I4" s="1">
        <f>IF(E4-3&gt;=1,1,IF(E4-3&gt;0,E4-3,0))</f>
        <v>1</v>
      </c>
      <c r="J4" s="1">
        <f>IF(E4-4&gt;=1,1,IF(E4-4&gt;0,E4-4,0))</f>
        <v>0.583333333333332</v>
      </c>
    </row>
    <row r="6" spans="1:10">
      <c r="A6" s="2" t="s">
        <v>375</v>
      </c>
    </row>
    <row r="24" spans="1:5">
      <c r="A24" s="2" t="s">
        <v>376</v>
      </c>
    </row>
    <row r="26" spans="1:5">
      <c r="B26" s="6" t="s">
        <v>377</v>
      </c>
      <c r="C26" s="7" t="s">
        <v>378</v>
      </c>
      <c r="D26" s="8" t="s">
        <v>379</v>
      </c>
      <c r="E26" s="9"/>
    </row>
    <row r="27" spans="1:5">
      <c r="B27" s="10" t="s">
        <v>311</v>
      </c>
      <c r="C27" s="11">
        <v>2.83</v>
      </c>
      <c r="D27" s="12">
        <f>'5点評価'!C3</f>
        <v>3.75</v>
      </c>
      <c r="E27" s="13"/>
    </row>
    <row r="28" spans="1:5">
      <c r="B28" s="14" t="s">
        <v>312</v>
      </c>
      <c r="C28" s="15">
        <v>4.03</v>
      </c>
      <c r="D28" s="16">
        <f>'5点評価'!D3</f>
        <v>4.58333333333333</v>
      </c>
      <c r="E28" s="13"/>
    </row>
    <row r="29" spans="1:5">
      <c r="B29" s="17" t="s">
        <v>313</v>
      </c>
      <c r="C29" s="18">
        <v>4.35</v>
      </c>
      <c r="D29" s="19">
        <f>'5点評価'!E3</f>
        <v>5</v>
      </c>
      <c r="E29" s="13"/>
    </row>
    <row r="30" spans="1:5">
      <c r="B30" s="20" t="s">
        <v>315</v>
      </c>
      <c r="C30" s="21">
        <v>2.98</v>
      </c>
      <c r="D30" s="22">
        <f>'5点評価'!F3</f>
        <v>5</v>
      </c>
      <c r="E30" s="13"/>
    </row>
    <row r="31" spans="1:5">
      <c r="B31" s="23" t="s">
        <v>316</v>
      </c>
      <c r="C31" s="24">
        <v>2.84</v>
      </c>
      <c r="D31" s="25">
        <f>'5点評価'!G3</f>
        <v>4.58333333333333</v>
      </c>
      <c r="E31" s="13"/>
    </row>
    <row r="33" spans="1:8">
      <c r="A33" s="2" t="s">
        <v>380</v>
      </c>
    </row>
    <row r="35" spans="1:8">
      <c r="A35" s="1" t="s">
        <v>381</v>
      </c>
    </row>
    <row r="36" ht="105" customHeight="1" spans="1:8">
      <c r="A36" s="26"/>
      <c r="B36" s="26"/>
      <c r="C36" s="26"/>
      <c r="D36" s="26"/>
      <c r="E36" s="26"/>
      <c r="F36" s="26"/>
      <c r="G36" s="26"/>
      <c r="H36" s="26"/>
    </row>
    <row r="38" spans="1:8">
      <c r="A38" s="1" t="s">
        <v>382</v>
      </c>
    </row>
    <row r="39" ht="104.25" customHeight="1" spans="1:8">
      <c r="A39" s="26"/>
      <c r="B39" s="26"/>
      <c r="C39" s="26"/>
      <c r="D39" s="26"/>
      <c r="E39" s="26"/>
      <c r="F39" s="26"/>
      <c r="G39" s="26"/>
      <c r="H39" s="26"/>
    </row>
    <row r="41" spans="1:8">
      <c r="A41" s="1" t="s">
        <v>383</v>
      </c>
    </row>
    <row r="42" ht="105" customHeight="1" spans="1:8">
      <c r="A42" s="26"/>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3c440dd7-2157-42b2-b511-f88c5b5a27d8}">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42"/>
  <sheetViews>
    <sheetView workbookViewId="0">
      <selection activeCell="A1" sqref="A1"/>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t="s">
        <v>384</v>
      </c>
    </row>
    <row r="2" spans="1:10">
      <c r="A2" s="2" t="str" cm="1">
        <f ca="1" t="array" ref="A2">RIGHT(CELL("filename",A1),LEN(CELL("filename",A1))-FIND("]",CELL("filename",A1)))</f>
        <v>bbb</v>
      </c>
    </row>
    <row r="3" spans="1:10">
      <c r="A3" s="2" t="s">
        <v>373</v>
      </c>
      <c r="D3" s="3"/>
      <c r="E3" s="3" t="s">
        <v>374</v>
      </c>
    </row>
    <row r="4" spans="1:10">
      <c r="D4" s="4"/>
      <c r="E4" s="5">
        <f>AVERAGE($D27:$D31)</f>
        <v>2.83333333333333</v>
      </c>
      <c r="F4" s="1">
        <f>IF(E4&gt;=1,1,E4)</f>
        <v>1</v>
      </c>
      <c r="G4" s="1">
        <f>IF(E4-1&gt;=1,1,IF(E4-1&gt;0,E4-1,0))</f>
        <v>1</v>
      </c>
      <c r="H4" s="1">
        <f>IF(E4-2&gt;=1,1,IF(E4-2&gt;0,E4-2,0))</f>
        <v>0.833333333333333</v>
      </c>
      <c r="I4" s="1">
        <f>IF(E4-3&gt;=1,1,IF(E4-3&gt;0,E4-3,0))</f>
        <v>0</v>
      </c>
      <c r="J4" s="1">
        <f>IF(E4-4&gt;=1,1,IF(E4-4&gt;0,E4-4,0))</f>
        <v>0</v>
      </c>
    </row>
    <row r="6" spans="1:10">
      <c r="A6" s="2" t="s">
        <v>375</v>
      </c>
    </row>
    <row r="24" spans="1:5">
      <c r="A24" s="2" t="s">
        <v>376</v>
      </c>
    </row>
    <row r="26" spans="1:5">
      <c r="B26" s="6" t="s">
        <v>377</v>
      </c>
      <c r="C26" s="7" t="s">
        <v>378</v>
      </c>
      <c r="D26" s="8" t="s">
        <v>379</v>
      </c>
      <c r="E26" s="9"/>
    </row>
    <row r="27" spans="1:5">
      <c r="B27" s="10" t="s">
        <v>311</v>
      </c>
      <c r="C27" s="11">
        <v>2.83</v>
      </c>
      <c r="D27" s="12">
        <f>'5点評価'!C4</f>
        <v>2.91666666666667</v>
      </c>
      <c r="E27" s="13"/>
    </row>
    <row r="28" spans="1:5">
      <c r="B28" s="14" t="s">
        <v>312</v>
      </c>
      <c r="C28" s="15">
        <v>4.03</v>
      </c>
      <c r="D28" s="16">
        <f>'5点評価'!D4</f>
        <v>2.91666666666667</v>
      </c>
      <c r="E28" s="13"/>
    </row>
    <row r="29" spans="1:5">
      <c r="B29" s="17" t="s">
        <v>313</v>
      </c>
      <c r="C29" s="18">
        <v>4.35</v>
      </c>
      <c r="D29" s="19">
        <f>'5点評価'!E4</f>
        <v>3.75</v>
      </c>
      <c r="E29" s="13"/>
    </row>
    <row r="30" spans="1:5">
      <c r="B30" s="20" t="s">
        <v>315</v>
      </c>
      <c r="C30" s="21">
        <v>2.98</v>
      </c>
      <c r="D30" s="22">
        <f>'5点評価'!F4</f>
        <v>2.5</v>
      </c>
      <c r="E30" s="13"/>
    </row>
    <row r="31" spans="1:5">
      <c r="B31" s="23" t="s">
        <v>316</v>
      </c>
      <c r="C31" s="24">
        <v>2.84</v>
      </c>
      <c r="D31" s="25">
        <f>'5点評価'!G4</f>
        <v>2.08333333333333</v>
      </c>
      <c r="E31" s="13"/>
    </row>
    <row r="33" spans="1:8">
      <c r="A33" s="2" t="s">
        <v>380</v>
      </c>
    </row>
    <row r="35" spans="1:8">
      <c r="A35" s="1" t="s">
        <v>381</v>
      </c>
    </row>
    <row r="36" ht="105" customHeight="1" spans="1:8">
      <c r="A36" s="26" t="s">
        <v>385</v>
      </c>
      <c r="B36" s="26"/>
      <c r="C36" s="26"/>
      <c r="D36" s="26"/>
      <c r="E36" s="26"/>
      <c r="F36" s="26"/>
      <c r="G36" s="26"/>
      <c r="H36" s="26"/>
    </row>
    <row r="38" spans="1:8">
      <c r="A38" s="1" t="s">
        <v>382</v>
      </c>
    </row>
    <row r="39" ht="104.25" customHeight="1" spans="1:8">
      <c r="A39" s="26" t="s">
        <v>386</v>
      </c>
      <c r="B39" s="26"/>
      <c r="C39" s="26"/>
      <c r="D39" s="26"/>
      <c r="E39" s="26"/>
      <c r="F39" s="26"/>
      <c r="G39" s="26"/>
      <c r="H39" s="26"/>
    </row>
    <row r="41" spans="1:8">
      <c r="A41" s="1" t="s">
        <v>383</v>
      </c>
    </row>
    <row r="42" ht="105" customHeight="1" spans="1:8">
      <c r="A42" s="26" t="s">
        <v>387</v>
      </c>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4bd6bf24-bc65-4ab9-aa29-8a72a51bbe21}">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J42"/>
  <sheetViews>
    <sheetView workbookViewId="0">
      <selection activeCell="A36" sqref="A36:H36"/>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row>
    <row r="2" spans="1:10">
      <c r="A2" s="2" t="str" cm="1">
        <f ca="1" t="array" ref="A2">RIGHT(CELL("filename",A1),LEN(CELL("filename",A1))-FIND("]",CELL("filename",A1)))</f>
        <v>ccc</v>
      </c>
    </row>
    <row r="3" spans="1:10">
      <c r="A3" s="2" t="s">
        <v>373</v>
      </c>
      <c r="D3" s="3"/>
      <c r="E3" s="3" t="s">
        <v>374</v>
      </c>
    </row>
    <row r="4" spans="1:10">
      <c r="D4" s="4"/>
      <c r="E4" s="5">
        <f>AVERAGE($D27:$D31)</f>
        <v>4</v>
      </c>
      <c r="F4" s="1">
        <f>IF(E4&gt;=1,1,E4)</f>
        <v>1</v>
      </c>
      <c r="G4" s="1">
        <f>IF(E4-1&gt;=1,1,IF(E4-1&gt;0,E4-1,0))</f>
        <v>1</v>
      </c>
      <c r="H4" s="1">
        <f>IF(E4-2&gt;=1,1,IF(E4-2&gt;0,E4-2,0))</f>
        <v>1</v>
      </c>
      <c r="I4" s="1">
        <f>IF(E4-3&gt;=1,1,IF(E4-3&gt;0,E4-3,0))</f>
        <v>1</v>
      </c>
      <c r="J4" s="1">
        <f>IF(E4-4&gt;=1,1,IF(E4-4&gt;0,E4-4,0))</f>
        <v>0</v>
      </c>
    </row>
    <row r="6" spans="1:10">
      <c r="A6" s="2" t="s">
        <v>375</v>
      </c>
    </row>
    <row r="24" spans="1:5">
      <c r="A24" s="2" t="s">
        <v>376</v>
      </c>
    </row>
    <row r="26" spans="1:5">
      <c r="B26" s="6" t="s">
        <v>377</v>
      </c>
      <c r="C26" s="7" t="s">
        <v>378</v>
      </c>
      <c r="D26" s="8" t="s">
        <v>379</v>
      </c>
      <c r="E26" s="9"/>
    </row>
    <row r="27" spans="1:5">
      <c r="B27" s="10" t="s">
        <v>311</v>
      </c>
      <c r="C27" s="11">
        <v>2.83</v>
      </c>
      <c r="D27" s="12">
        <f>'5点評価'!C5</f>
        <v>2.91666666666667</v>
      </c>
      <c r="E27" s="13"/>
    </row>
    <row r="28" spans="1:5">
      <c r="B28" s="14" t="s">
        <v>312</v>
      </c>
      <c r="C28" s="15">
        <v>4.03</v>
      </c>
      <c r="D28" s="16">
        <f>'5点評価'!D5</f>
        <v>4.16666666666667</v>
      </c>
      <c r="E28" s="13"/>
    </row>
    <row r="29" spans="1:5">
      <c r="B29" s="17" t="s">
        <v>313</v>
      </c>
      <c r="C29" s="18">
        <v>4.35</v>
      </c>
      <c r="D29" s="19">
        <f>'5点評価'!E5</f>
        <v>4.58333333333333</v>
      </c>
      <c r="E29" s="13"/>
    </row>
    <row r="30" spans="1:5">
      <c r="B30" s="20" t="s">
        <v>315</v>
      </c>
      <c r="C30" s="21">
        <v>2.98</v>
      </c>
      <c r="D30" s="22">
        <f>'5点評価'!F5</f>
        <v>4.16666666666667</v>
      </c>
      <c r="E30" s="13"/>
    </row>
    <row r="31" spans="1:5">
      <c r="B31" s="23" t="s">
        <v>316</v>
      </c>
      <c r="C31" s="24">
        <v>2.84</v>
      </c>
      <c r="D31" s="25">
        <f>'5点評価'!G5</f>
        <v>4.16666666666667</v>
      </c>
      <c r="E31" s="13"/>
    </row>
    <row r="33" spans="1:8">
      <c r="A33" s="2" t="s">
        <v>380</v>
      </c>
    </row>
    <row r="35" spans="1:8">
      <c r="A35" s="1" t="s">
        <v>381</v>
      </c>
    </row>
    <row r="36" ht="105" customHeight="1" spans="1:8">
      <c r="A36" s="26" t="s">
        <v>388</v>
      </c>
      <c r="B36" s="26"/>
      <c r="C36" s="26"/>
      <c r="D36" s="26"/>
      <c r="E36" s="26"/>
      <c r="F36" s="26"/>
      <c r="G36" s="26"/>
      <c r="H36" s="26"/>
    </row>
    <row r="38" spans="1:8">
      <c r="A38" s="1" t="s">
        <v>382</v>
      </c>
    </row>
    <row r="39" ht="104.25" customHeight="1" spans="1:8">
      <c r="A39" s="26" t="s">
        <v>389</v>
      </c>
      <c r="B39" s="26"/>
      <c r="C39" s="26"/>
      <c r="D39" s="26"/>
      <c r="E39" s="26"/>
      <c r="F39" s="26"/>
      <c r="G39" s="26"/>
      <c r="H39" s="26"/>
    </row>
    <row r="41" spans="1:8">
      <c r="A41" s="1" t="s">
        <v>383</v>
      </c>
    </row>
    <row r="42" ht="105" customHeight="1" spans="1:8">
      <c r="A42" s="26" t="s">
        <v>390</v>
      </c>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79af58aa-a5bc-41b0-ab11-03e943b1c505}">
            <x14:iconSet iconSet="3Stars" showValue="0">
              <x14:cfvo type="percent">
                <xm:f>0</xm:f>
              </x14:cfvo>
              <x14:cfvo type="num">
                <xm:f>0.01</xm:f>
              </x14:cfvo>
              <x14:cfvo type="num">
                <xm:f>1</xm:f>
              </x14:cfvo>
            </x14:iconSet>
          </x14:cfRule>
          <xm:sqref>F4:J4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�0�0�0�0 
</file>

<file path=customXml/item2.xml>�� 
</file>

<file path=customXml/item3.xml>�� 
</file>

<file path=customXml/itemProps1.xml><?xml version="1.0" encoding="utf-8"?>
<ds:datastoreItem xmlns:ds="http://schemas.openxmlformats.org/officeDocument/2006/customXml" ds:itemID="{55315A28-841C-47AF-B2C8-B5BF5A01AE18}">
  <ds:schemaRefs/>
</ds:datastoreItem>
</file>

<file path=customXml/itemProps2.xml><?xml version="1.0" encoding="utf-8"?>
<ds:datastoreItem xmlns:ds="http://schemas.openxmlformats.org/officeDocument/2006/customXml" ds:itemID="{1261F4F6-F764-49FC-9F1E-C31AC93AD005}">
  <ds:schemaRefs/>
</ds:datastoreItem>
</file>

<file path=customXml/itemProps3.xml><?xml version="1.0" encoding="utf-8"?>
<ds:datastoreItem xmlns:ds="http://schemas.openxmlformats.org/officeDocument/2006/customXml" ds:itemID="{C4AEA180-5034-4ADD-9ECD-8454EFE77B34}">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取得データ</vt:lpstr>
      <vt:lpstr>配点</vt:lpstr>
      <vt:lpstr>総合得点</vt:lpstr>
      <vt:lpstr>5点評価</vt:lpstr>
      <vt:lpstr>aaa</vt:lpstr>
      <vt:lpstr>bbb</vt:lpstr>
      <vt:lpstr>ccc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Satellite</dc:creator>
  <cp:lastModifiedBy>Administrator</cp:lastModifiedBy>
  <dcterms:created xsi:type="dcterms:W3CDTF">2024-11-19T01:00:00Z</dcterms:created>
  <dcterms:modified xsi:type="dcterms:W3CDTF">2025-11-15T16:30:08Z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0x0101008B1B2C34A4624A489402C03DEA2DA3DE</vt:lpwstr>
  </property>
  <property fmtid="{D5CDD505-2E9C-101B-9397-08002B2CF9AE}" pid="3" name="MediaServiceImageTags">
    <vt:lpwstr/>
  </property>
  <property fmtid="{D5CDD505-2E9C-101B-9397-08002B2CF9AE}" pid="4" name="ICV">
    <vt:lpwstr>A12F8156EB894CA39BD7C9FDA519A871_12</vt:lpwstr>
  </property>
  <property fmtid="{D5CDD505-2E9C-101B-9397-08002B2CF9AE}" pid="5" name="KSOProductBuildVer">
    <vt:lpwstr>2052-12.1.0.23542</vt:lpwstr>
  </property>
</Properties>
</file>